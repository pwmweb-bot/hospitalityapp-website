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ta" sheetId="1" state="visible" r:id="rId1"/>
    <sheet xmlns:r="http://schemas.openxmlformats.org/officeDocument/2006/relationships" name="Summary" sheetId="2" state="visible" r:id="rId2"/>
    <sheet xmlns:r="http://schemas.openxmlformats.org/officeDocument/2006/relationships" name="How to use" sheetId="3" state="visible" r:id="rId3"/>
  </sheets>
  <definedNames/>
  <calcPr calcId="124519" fullCalcOnLoad="1"/>
</workbook>
</file>

<file path=xl/styles.xml><?xml version="1.0" encoding="utf-8"?>
<styleSheet xmlns="http://schemas.openxmlformats.org/spreadsheetml/2006/main">
  <numFmts count="5">
    <numFmt numFmtId="164" formatCode="£#,##0.00"/>
    <numFmt numFmtId="165" formatCode="dd/mm hh:mm;;"/>
    <numFmt numFmtId="166" formatCode="dd/mm/yyyy"/>
    <numFmt numFmtId="167" formatCode="hh:mm"/>
    <numFmt numFmtId="168" formatCode="0.0%"/>
  </numFmts>
  <fonts count="7">
    <font>
      <name val="Calibri"/>
      <family val="2"/>
      <color theme="1"/>
      <sz val="11"/>
      <scheme val="minor"/>
    </font>
    <font>
      <name val="Calibri"/>
      <b val="1"/>
      <color rgb="FF14181D"/>
      <sz val="15"/>
    </font>
    <font>
      <name val="Calibri"/>
      <b val="1"/>
      <color rgb="FF0F5C63"/>
      <sz val="10"/>
    </font>
    <font>
      <name val="Calibri"/>
      <i val="1"/>
      <color rgb="FF6B767F"/>
      <sz val="9"/>
    </font>
    <font>
      <name val="Calibri"/>
      <b val="1"/>
      <color rgb="FFFFFFFF"/>
      <sz val="10"/>
    </font>
    <font>
      <name val="Calibri"/>
      <sz val="10"/>
    </font>
    <font>
      <name val="Calibri"/>
      <b val="1"/>
      <sz val="11"/>
    </font>
  </fonts>
  <fills count="4">
    <fill>
      <patternFill/>
    </fill>
    <fill>
      <patternFill patternType="gray125"/>
    </fill>
    <fill>
      <patternFill patternType="solid">
        <fgColor rgb="FF14181D"/>
      </patternFill>
    </fill>
    <fill>
      <patternFill patternType="solid">
        <fgColor rgb="FFEFEAE0"/>
      </patternFill>
    </fill>
  </fills>
  <borders count="2">
    <border>
      <left/>
      <right/>
      <top/>
      <bottom/>
      <diagonal/>
    </border>
    <border>
      <left style="thin">
        <color rgb="FFD8D2C6"/>
      </left>
      <right style="thin">
        <color rgb="FFD8D2C6"/>
      </right>
      <top style="thin">
        <color rgb="FFD8D2C6"/>
      </top>
      <bottom style="thin">
        <color rgb="FFD8D2C6"/>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pivotButton="0" quotePrefix="0" xfId="0"/>
    <xf numFmtId="166" fontId="5" fillId="0" borderId="1" pivotButton="0" quotePrefix="0" xfId="0"/>
    <xf numFmtId="167" fontId="5" fillId="0" borderId="1" pivotButton="0" quotePrefix="0" xfId="0"/>
    <xf numFmtId="2" fontId="5" fillId="0" borderId="1" pivotButton="0" quotePrefix="0" xfId="0"/>
    <xf numFmtId="164" fontId="5" fillId="0" borderId="1" pivotButton="0" quotePrefix="0" xfId="0"/>
    <xf numFmtId="165" fontId="3" fillId="3" borderId="1" pivotButton="0" quotePrefix="0" xfId="0"/>
    <xf numFmtId="2" fontId="6" fillId="0" borderId="1" pivotButton="0" quotePrefix="0" xfId="0"/>
    <xf numFmtId="0" fontId="3" fillId="0" borderId="0" applyAlignment="1" pivotButton="0" quotePrefix="0" xfId="0">
      <alignment vertical="center" wrapText="1"/>
    </xf>
    <xf numFmtId="164" fontId="6" fillId="0" borderId="1" pivotButton="0" quotePrefix="0" xfId="0"/>
    <xf numFmtId="168" fontId="6" fillId="0" borderId="1" pivotButton="0" quotePrefix="0" xfId="0"/>
    <xf numFmtId="1" fontId="6" fillId="0" borderId="1" pivotButton="0" quotePrefix="0" xfId="0"/>
    <xf numFmtId="0" fontId="1"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dxfs count="4">
    <dxf>
      <font>
        <name val="Calibri"/>
        <b val="1"/>
        <color rgb="FFA93C29"/>
        <sz val="10"/>
      </font>
      <fill>
        <patternFill patternType="solid">
          <fgColor rgb="FFFAEAE6"/>
        </patternFill>
      </fill>
    </dxf>
    <dxf>
      <font>
        <b val="1"/>
        <color rgb="FFA93C29"/>
      </font>
      <fill>
        <patternFill patternType="solid">
          <fgColor rgb="FFFAEAE6"/>
        </patternFill>
      </fill>
    </dxf>
    <dxf>
      <font>
        <b val="1"/>
        <color rgb="FF8A6212"/>
      </font>
      <fill>
        <patternFill patternType="solid">
          <fgColor rgb="FFFBF1DC"/>
        </patternFill>
      </fill>
    </dxf>
    <dxf>
      <font>
        <b val="1"/>
        <color rgb="FF2A6349"/>
      </font>
      <fill>
        <patternFill patternType="solid">
          <fgColor rgb="FFE4F0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
  <sheetViews>
    <sheetView showGridLines="0" workbookViewId="0">
      <pane ySplit="6" topLeftCell="A7" activePane="bottomLeft" state="frozen"/>
      <selection pane="bottomLeft" activeCell="A1" sqref="A1"/>
    </sheetView>
  </sheetViews>
  <sheetFormatPr baseColWidth="8" defaultRowHeight="15"/>
  <cols>
    <col width="12" customWidth="1" min="1" max="1"/>
    <col width="11" customWidth="1" min="2" max="2"/>
    <col width="17" customWidth="1" min="3" max="3"/>
    <col width="17" customWidth="1" min="4" max="4"/>
    <col width="8" customWidth="1" min="5" max="5"/>
    <col width="8" customWidth="1" min="6" max="6"/>
    <col width="10" customWidth="1" min="7" max="7"/>
    <col width="9" customWidth="1" min="8" max="8"/>
    <col width="10" customWidth="1" min="9" max="9"/>
    <col width="11" customWidth="1" min="10" max="10"/>
    <col width="22" customWidth="1" min="11" max="11"/>
    <col width="22" customWidth="1" min="12" max="12"/>
    <col width="15" customWidth="1" min="13" max="13"/>
    <col width="15" customWidth="1" min="14" max="14"/>
  </cols>
  <sheetData>
    <row r="1">
      <c r="A1" s="1" t="inlineStr">
        <is>
          <t>Kitchen &amp; front-of-house rota template</t>
        </is>
      </c>
    </row>
    <row r="2">
      <c r="A2" s="2" t="inlineStr">
        <is>
          <t>Venue</t>
        </is>
      </c>
      <c r="B2" t="inlineStr">
        <is>
          <t>Your restaurant</t>
        </is>
      </c>
    </row>
    <row r="3">
      <c r="A3" s="2" t="inlineStr">
        <is>
          <t>Week commencing</t>
        </is>
      </c>
      <c r="B3" s="3" t="inlineStr">
        <is>
          <t>(Monday's date)</t>
        </is>
      </c>
    </row>
    <row r="4">
      <c r="A4" s="3" t="inlineStr">
        <is>
          <t>Enter one row per shift. Overnight shifts are handled — 17:00 to 01:00 counts as 8 hours.</t>
        </is>
      </c>
    </row>
    <row r="6" ht="26" customHeight="1">
      <c r="A6" s="4" t="inlineStr">
        <is>
          <t>Day</t>
        </is>
      </c>
      <c r="B6" s="4" t="inlineStr">
        <is>
          <t>Date</t>
        </is>
      </c>
      <c r="C6" s="4" t="inlineStr">
        <is>
          <t>Role</t>
        </is>
      </c>
      <c r="D6" s="4" t="inlineStr">
        <is>
          <t>Name</t>
        </is>
      </c>
      <c r="E6" s="4" t="inlineStr">
        <is>
          <t>Start</t>
        </is>
      </c>
      <c r="F6" s="4" t="inlineStr">
        <is>
          <t>End</t>
        </is>
      </c>
      <c r="G6" s="4" t="inlineStr">
        <is>
          <t>Break min</t>
        </is>
      </c>
      <c r="H6" s="4" t="inlineStr">
        <is>
          <t>Hours</t>
        </is>
      </c>
      <c r="I6" s="4" t="inlineStr">
        <is>
          <t>Rate £/h</t>
        </is>
      </c>
      <c r="J6" s="4" t="inlineStr">
        <is>
          <t>Cost £</t>
        </is>
      </c>
      <c r="K6" s="4" t="inlineStr">
        <is>
          <t>Break check</t>
        </is>
      </c>
      <c r="L6" s="4" t="inlineStr">
        <is>
          <t>Rest check</t>
        </is>
      </c>
      <c r="M6" s="4" t="inlineStr">
        <is>
          <t>(working) start</t>
        </is>
      </c>
      <c r="N6" s="4" t="inlineStr">
        <is>
          <t>(working) end</t>
        </is>
      </c>
    </row>
    <row r="7">
      <c r="A7" s="5" t="inlineStr">
        <is>
          <t>Monday</t>
        </is>
      </c>
      <c r="B7" s="6" t="n"/>
      <c r="C7" s="5" t="inlineStr">
        <is>
          <t>Head chef</t>
        </is>
      </c>
      <c r="D7" s="5" t="n"/>
      <c r="E7" s="7" t="n"/>
      <c r="F7" s="7" t="n"/>
      <c r="G7" s="5" t="n"/>
      <c r="H7" s="8">
        <f>IF(OR(E7="",F7=""),"",(IF(F7&lt;E7,F7+1,F7)-E7)*24-N(G7)/60)</f>
        <v/>
      </c>
      <c r="I7" s="9" t="n"/>
      <c r="J7" s="9">
        <f>IF(OR(H7="",I7=""),"",H7*I7)</f>
        <v/>
      </c>
      <c r="K7" s="5">
        <f>IF(H7="","",IF(AND(H7&gt;6,N(G7)&lt;20),"Needs a 20-min break",""))</f>
        <v/>
      </c>
      <c r="L7" s="5">
        <f>IF(OR(M7=0,D7=""),"",IF(SUMPRODUCT(MAX(($D$7:$D$66=D7)*($N$7:$N$66&lt;M7)*$N$7:$N$66))=0,"",IF((M7-SUMPRODUCT(MAX(($D$7:$D$66=D7)*($N$7:$N$66&lt;M7)*$N$7:$N$66)))*24&lt;11,"Under 11h rest","")))</f>
        <v/>
      </c>
      <c r="M7" s="10">
        <f>IF(OR(B7="",E7=""),0,B7+E7)</f>
        <v/>
      </c>
      <c r="N7" s="10">
        <f>IF(OR(B7="",F7=""),0,B7+IF(F7&lt;E7,F7+1,F7))</f>
        <v/>
      </c>
    </row>
    <row r="8">
      <c r="A8" s="5" t="inlineStr">
        <is>
          <t>Monday</t>
        </is>
      </c>
      <c r="B8" s="6" t="n"/>
      <c r="C8" s="5" t="inlineStr">
        <is>
          <t>Sous chef</t>
        </is>
      </c>
      <c r="D8" s="5" t="n"/>
      <c r="E8" s="7" t="n"/>
      <c r="F8" s="7" t="n"/>
      <c r="G8" s="5" t="n"/>
      <c r="H8" s="8">
        <f>IF(OR(E8="",F8=""),"",(IF(F8&lt;E8,F8+1,F8)-E8)*24-N(G8)/60)</f>
        <v/>
      </c>
      <c r="I8" s="9" t="n"/>
      <c r="J8" s="9">
        <f>IF(OR(H8="",I8=""),"",H8*I8)</f>
        <v/>
      </c>
      <c r="K8" s="5">
        <f>IF(H8="","",IF(AND(H8&gt;6,N(G8)&lt;20),"Needs a 20-min break",""))</f>
        <v/>
      </c>
      <c r="L8" s="5">
        <f>IF(OR(M8=0,D8=""),"",IF(SUMPRODUCT(MAX(($D$7:$D$66=D8)*($N$7:$N$66&lt;M8)*$N$7:$N$66))=0,"",IF((M8-SUMPRODUCT(MAX(($D$7:$D$66=D8)*($N$7:$N$66&lt;M8)*$N$7:$N$66)))*24&lt;11,"Under 11h rest","")))</f>
        <v/>
      </c>
      <c r="M8" s="10">
        <f>IF(OR(B8="",E8=""),0,B8+E8)</f>
        <v/>
      </c>
      <c r="N8" s="10">
        <f>IF(OR(B8="",F8=""),0,B8+IF(F8&lt;E8,F8+1,F8))</f>
        <v/>
      </c>
    </row>
    <row r="9">
      <c r="A9" s="5" t="inlineStr">
        <is>
          <t>Monday</t>
        </is>
      </c>
      <c r="B9" s="6" t="n"/>
      <c r="C9" s="5" t="inlineStr">
        <is>
          <t>Chef de partie</t>
        </is>
      </c>
      <c r="D9" s="5" t="n"/>
      <c r="E9" s="7" t="n"/>
      <c r="F9" s="7" t="n"/>
      <c r="G9" s="5" t="n"/>
      <c r="H9" s="8">
        <f>IF(OR(E9="",F9=""),"",(IF(F9&lt;E9,F9+1,F9)-E9)*24-N(G9)/60)</f>
        <v/>
      </c>
      <c r="I9" s="9" t="n"/>
      <c r="J9" s="9">
        <f>IF(OR(H9="",I9=""),"",H9*I9)</f>
        <v/>
      </c>
      <c r="K9" s="5">
        <f>IF(H9="","",IF(AND(H9&gt;6,N(G9)&lt;20),"Needs a 20-min break",""))</f>
        <v/>
      </c>
      <c r="L9" s="5">
        <f>IF(OR(M9=0,D9=""),"",IF(SUMPRODUCT(MAX(($D$7:$D$66=D9)*($N$7:$N$66&lt;M9)*$N$7:$N$66))=0,"",IF((M9-SUMPRODUCT(MAX(($D$7:$D$66=D9)*($N$7:$N$66&lt;M9)*$N$7:$N$66)))*24&lt;11,"Under 11h rest","")))</f>
        <v/>
      </c>
      <c r="M9" s="10">
        <f>IF(OR(B9="",E9=""),0,B9+E9)</f>
        <v/>
      </c>
      <c r="N9" s="10">
        <f>IF(OR(B9="",F9=""),0,B9+IF(F9&lt;E9,F9+1,F9))</f>
        <v/>
      </c>
    </row>
    <row r="10">
      <c r="A10" s="5" t="inlineStr">
        <is>
          <t>Monday</t>
        </is>
      </c>
      <c r="B10" s="6" t="n"/>
      <c r="C10" s="5" t="inlineStr">
        <is>
          <t>KP</t>
        </is>
      </c>
      <c r="D10" s="5" t="n"/>
      <c r="E10" s="7" t="n"/>
      <c r="F10" s="7" t="n"/>
      <c r="G10" s="5" t="n"/>
      <c r="H10" s="8">
        <f>IF(OR(E10="",F10=""),"",(IF(F10&lt;E10,F10+1,F10)-E10)*24-N(G10)/60)</f>
        <v/>
      </c>
      <c r="I10" s="9" t="n"/>
      <c r="J10" s="9">
        <f>IF(OR(H10="",I10=""),"",H10*I10)</f>
        <v/>
      </c>
      <c r="K10" s="5">
        <f>IF(H10="","",IF(AND(H10&gt;6,N(G10)&lt;20),"Needs a 20-min break",""))</f>
        <v/>
      </c>
      <c r="L10" s="5">
        <f>IF(OR(M10=0,D10=""),"",IF(SUMPRODUCT(MAX(($D$7:$D$66=D10)*($N$7:$N$66&lt;M10)*$N$7:$N$66))=0,"",IF((M10-SUMPRODUCT(MAX(($D$7:$D$66=D10)*($N$7:$N$66&lt;M10)*$N$7:$N$66)))*24&lt;11,"Under 11h rest","")))</f>
        <v/>
      </c>
      <c r="M10" s="10">
        <f>IF(OR(B10="",E10=""),0,B10+E10)</f>
        <v/>
      </c>
      <c r="N10" s="10">
        <f>IF(OR(B10="",F10=""),0,B10+IF(F10&lt;E10,F10+1,F10))</f>
        <v/>
      </c>
    </row>
    <row r="11">
      <c r="A11" s="5" t="inlineStr">
        <is>
          <t>Monday</t>
        </is>
      </c>
      <c r="B11" s="6" t="n"/>
      <c r="C11" s="5" t="inlineStr">
        <is>
          <t>Pass</t>
        </is>
      </c>
      <c r="D11" s="5" t="n"/>
      <c r="E11" s="7" t="n"/>
      <c r="F11" s="7" t="n"/>
      <c r="G11" s="5" t="n"/>
      <c r="H11" s="8">
        <f>IF(OR(E11="",F11=""),"",(IF(F11&lt;E11,F11+1,F11)-E11)*24-N(G11)/60)</f>
        <v/>
      </c>
      <c r="I11" s="9" t="n"/>
      <c r="J11" s="9">
        <f>IF(OR(H11="",I11=""),"",H11*I11)</f>
        <v/>
      </c>
      <c r="K11" s="5">
        <f>IF(H11="","",IF(AND(H11&gt;6,N(G11)&lt;20),"Needs a 20-min break",""))</f>
        <v/>
      </c>
      <c r="L11" s="5">
        <f>IF(OR(M11=0,D11=""),"",IF(SUMPRODUCT(MAX(($D$7:$D$66=D11)*($N$7:$N$66&lt;M11)*$N$7:$N$66))=0,"",IF((M11-SUMPRODUCT(MAX(($D$7:$D$66=D11)*($N$7:$N$66&lt;M11)*$N$7:$N$66)))*24&lt;11,"Under 11h rest","")))</f>
        <v/>
      </c>
      <c r="M11" s="10">
        <f>IF(OR(B11="",E11=""),0,B11+E11)</f>
        <v/>
      </c>
      <c r="N11" s="10">
        <f>IF(OR(B11="",F11=""),0,B11+IF(F11&lt;E11,F11+1,F11))</f>
        <v/>
      </c>
    </row>
    <row r="12">
      <c r="A12" s="5" t="inlineStr">
        <is>
          <t>Monday</t>
        </is>
      </c>
      <c r="B12" s="6" t="n"/>
      <c r="C12" s="5" t="inlineStr">
        <is>
          <t>Host</t>
        </is>
      </c>
      <c r="D12" s="5" t="n"/>
      <c r="E12" s="7" t="n"/>
      <c r="F12" s="7" t="n"/>
      <c r="G12" s="5" t="n"/>
      <c r="H12" s="8">
        <f>IF(OR(E12="",F12=""),"",(IF(F12&lt;E12,F12+1,F12)-E12)*24-N(G12)/60)</f>
        <v/>
      </c>
      <c r="I12" s="9" t="n"/>
      <c r="J12" s="9">
        <f>IF(OR(H12="",I12=""),"",H12*I12)</f>
        <v/>
      </c>
      <c r="K12" s="5">
        <f>IF(H12="","",IF(AND(H12&gt;6,N(G12)&lt;20),"Needs a 20-min break",""))</f>
        <v/>
      </c>
      <c r="L12" s="5">
        <f>IF(OR(M12=0,D12=""),"",IF(SUMPRODUCT(MAX(($D$7:$D$66=D12)*($N$7:$N$66&lt;M12)*$N$7:$N$66))=0,"",IF((M12-SUMPRODUCT(MAX(($D$7:$D$66=D12)*($N$7:$N$66&lt;M12)*$N$7:$N$66)))*24&lt;11,"Under 11h rest","")))</f>
        <v/>
      </c>
      <c r="M12" s="10">
        <f>IF(OR(B12="",E12=""),0,B12+E12)</f>
        <v/>
      </c>
      <c r="N12" s="10">
        <f>IF(OR(B12="",F12=""),0,B12+IF(F12&lt;E12,F12+1,F12))</f>
        <v/>
      </c>
    </row>
    <row r="13">
      <c r="A13" s="5" t="inlineStr">
        <is>
          <t>Monday</t>
        </is>
      </c>
      <c r="B13" s="6" t="n"/>
      <c r="C13" s="5" t="inlineStr">
        <is>
          <t>Server</t>
        </is>
      </c>
      <c r="D13" s="5" t="n"/>
      <c r="E13" s="7" t="n"/>
      <c r="F13" s="7" t="n"/>
      <c r="G13" s="5" t="n"/>
      <c r="H13" s="8">
        <f>IF(OR(E13="",F13=""),"",(IF(F13&lt;E13,F13+1,F13)-E13)*24-N(G13)/60)</f>
        <v/>
      </c>
      <c r="I13" s="9" t="n"/>
      <c r="J13" s="9">
        <f>IF(OR(H13="",I13=""),"",H13*I13)</f>
        <v/>
      </c>
      <c r="K13" s="5">
        <f>IF(H13="","",IF(AND(H13&gt;6,N(G13)&lt;20),"Needs a 20-min break",""))</f>
        <v/>
      </c>
      <c r="L13" s="5">
        <f>IF(OR(M13=0,D13=""),"",IF(SUMPRODUCT(MAX(($D$7:$D$66=D13)*($N$7:$N$66&lt;M13)*$N$7:$N$66))=0,"",IF((M13-SUMPRODUCT(MAX(($D$7:$D$66=D13)*($N$7:$N$66&lt;M13)*$N$7:$N$66)))*24&lt;11,"Under 11h rest","")))</f>
        <v/>
      </c>
      <c r="M13" s="10">
        <f>IF(OR(B13="",E13=""),0,B13+E13)</f>
        <v/>
      </c>
      <c r="N13" s="10">
        <f>IF(OR(B13="",F13=""),0,B13+IF(F13&lt;E13,F13+1,F13))</f>
        <v/>
      </c>
    </row>
    <row r="14">
      <c r="A14" s="5" t="inlineStr">
        <is>
          <t>Monday</t>
        </is>
      </c>
      <c r="B14" s="6" t="n"/>
      <c r="C14" s="5" t="inlineStr">
        <is>
          <t>Runner</t>
        </is>
      </c>
      <c r="D14" s="5" t="n"/>
      <c r="E14" s="7" t="n"/>
      <c r="F14" s="7" t="n"/>
      <c r="G14" s="5" t="n"/>
      <c r="H14" s="8">
        <f>IF(OR(E14="",F14=""),"",(IF(F14&lt;E14,F14+1,F14)-E14)*24-N(G14)/60)</f>
        <v/>
      </c>
      <c r="I14" s="9" t="n"/>
      <c r="J14" s="9">
        <f>IF(OR(H14="",I14=""),"",H14*I14)</f>
        <v/>
      </c>
      <c r="K14" s="5">
        <f>IF(H14="","",IF(AND(H14&gt;6,N(G14)&lt;20),"Needs a 20-min break",""))</f>
        <v/>
      </c>
      <c r="L14" s="5">
        <f>IF(OR(M14=0,D14=""),"",IF(SUMPRODUCT(MAX(($D$7:$D$66=D14)*($N$7:$N$66&lt;M14)*$N$7:$N$66))=0,"",IF((M14-SUMPRODUCT(MAX(($D$7:$D$66=D14)*($N$7:$N$66&lt;M14)*$N$7:$N$66)))*24&lt;11,"Under 11h rest","")))</f>
        <v/>
      </c>
      <c r="M14" s="10">
        <f>IF(OR(B14="",E14=""),0,B14+E14)</f>
        <v/>
      </c>
      <c r="N14" s="10">
        <f>IF(OR(B14="",F14=""),0,B14+IF(F14&lt;E14,F14+1,F14))</f>
        <v/>
      </c>
    </row>
    <row r="15">
      <c r="A15" s="5" t="inlineStr">
        <is>
          <t>Tuesday</t>
        </is>
      </c>
      <c r="B15" s="6" t="n"/>
      <c r="C15" s="5" t="inlineStr">
        <is>
          <t>Head chef</t>
        </is>
      </c>
      <c r="D15" s="5" t="n"/>
      <c r="E15" s="7" t="n"/>
      <c r="F15" s="7" t="n"/>
      <c r="G15" s="5" t="n"/>
      <c r="H15" s="8">
        <f>IF(OR(E15="",F15=""),"",(IF(F15&lt;E15,F15+1,F15)-E15)*24-N(G15)/60)</f>
        <v/>
      </c>
      <c r="I15" s="9" t="n"/>
      <c r="J15" s="9">
        <f>IF(OR(H15="",I15=""),"",H15*I15)</f>
        <v/>
      </c>
      <c r="K15" s="5">
        <f>IF(H15="","",IF(AND(H15&gt;6,N(G15)&lt;20),"Needs a 20-min break",""))</f>
        <v/>
      </c>
      <c r="L15" s="5">
        <f>IF(OR(M15=0,D15=""),"",IF(SUMPRODUCT(MAX(($D$7:$D$66=D15)*($N$7:$N$66&lt;M15)*$N$7:$N$66))=0,"",IF((M15-SUMPRODUCT(MAX(($D$7:$D$66=D15)*($N$7:$N$66&lt;M15)*$N$7:$N$66)))*24&lt;11,"Under 11h rest","")))</f>
        <v/>
      </c>
      <c r="M15" s="10">
        <f>IF(OR(B15="",E15=""),0,B15+E15)</f>
        <v/>
      </c>
      <c r="N15" s="10">
        <f>IF(OR(B15="",F15=""),0,B15+IF(F15&lt;E15,F15+1,F15))</f>
        <v/>
      </c>
    </row>
    <row r="16">
      <c r="A16" s="5" t="inlineStr">
        <is>
          <t>Tuesday</t>
        </is>
      </c>
      <c r="B16" s="6" t="n"/>
      <c r="C16" s="5" t="inlineStr">
        <is>
          <t>Sous chef</t>
        </is>
      </c>
      <c r="D16" s="5" t="n"/>
      <c r="E16" s="7" t="n"/>
      <c r="F16" s="7" t="n"/>
      <c r="G16" s="5" t="n"/>
      <c r="H16" s="8">
        <f>IF(OR(E16="",F16=""),"",(IF(F16&lt;E16,F16+1,F16)-E16)*24-N(G16)/60)</f>
        <v/>
      </c>
      <c r="I16" s="9" t="n"/>
      <c r="J16" s="9">
        <f>IF(OR(H16="",I16=""),"",H16*I16)</f>
        <v/>
      </c>
      <c r="K16" s="5">
        <f>IF(H16="","",IF(AND(H16&gt;6,N(G16)&lt;20),"Needs a 20-min break",""))</f>
        <v/>
      </c>
      <c r="L16" s="5">
        <f>IF(OR(M16=0,D16=""),"",IF(SUMPRODUCT(MAX(($D$7:$D$66=D16)*($N$7:$N$66&lt;M16)*$N$7:$N$66))=0,"",IF((M16-SUMPRODUCT(MAX(($D$7:$D$66=D16)*($N$7:$N$66&lt;M16)*$N$7:$N$66)))*24&lt;11,"Under 11h rest","")))</f>
        <v/>
      </c>
      <c r="M16" s="10">
        <f>IF(OR(B16="",E16=""),0,B16+E16)</f>
        <v/>
      </c>
      <c r="N16" s="10">
        <f>IF(OR(B16="",F16=""),0,B16+IF(F16&lt;E16,F16+1,F16))</f>
        <v/>
      </c>
    </row>
    <row r="17">
      <c r="A17" s="5" t="inlineStr">
        <is>
          <t>Tuesday</t>
        </is>
      </c>
      <c r="B17" s="6" t="n"/>
      <c r="C17" s="5" t="inlineStr">
        <is>
          <t>Chef de partie</t>
        </is>
      </c>
      <c r="D17" s="5" t="n"/>
      <c r="E17" s="7" t="n"/>
      <c r="F17" s="7" t="n"/>
      <c r="G17" s="5" t="n"/>
      <c r="H17" s="8">
        <f>IF(OR(E17="",F17=""),"",(IF(F17&lt;E17,F17+1,F17)-E17)*24-N(G17)/60)</f>
        <v/>
      </c>
      <c r="I17" s="9" t="n"/>
      <c r="J17" s="9">
        <f>IF(OR(H17="",I17=""),"",H17*I17)</f>
        <v/>
      </c>
      <c r="K17" s="5">
        <f>IF(H17="","",IF(AND(H17&gt;6,N(G17)&lt;20),"Needs a 20-min break",""))</f>
        <v/>
      </c>
      <c r="L17" s="5">
        <f>IF(OR(M17=0,D17=""),"",IF(SUMPRODUCT(MAX(($D$7:$D$66=D17)*($N$7:$N$66&lt;M17)*$N$7:$N$66))=0,"",IF((M17-SUMPRODUCT(MAX(($D$7:$D$66=D17)*($N$7:$N$66&lt;M17)*$N$7:$N$66)))*24&lt;11,"Under 11h rest","")))</f>
        <v/>
      </c>
      <c r="M17" s="10">
        <f>IF(OR(B17="",E17=""),0,B17+E17)</f>
        <v/>
      </c>
      <c r="N17" s="10">
        <f>IF(OR(B17="",F17=""),0,B17+IF(F17&lt;E17,F17+1,F17))</f>
        <v/>
      </c>
    </row>
    <row r="18">
      <c r="A18" s="5" t="inlineStr">
        <is>
          <t>Tuesday</t>
        </is>
      </c>
      <c r="B18" s="6" t="n"/>
      <c r="C18" s="5" t="inlineStr">
        <is>
          <t>KP</t>
        </is>
      </c>
      <c r="D18" s="5" t="n"/>
      <c r="E18" s="7" t="n"/>
      <c r="F18" s="7" t="n"/>
      <c r="G18" s="5" t="n"/>
      <c r="H18" s="8">
        <f>IF(OR(E18="",F18=""),"",(IF(F18&lt;E18,F18+1,F18)-E18)*24-N(G18)/60)</f>
        <v/>
      </c>
      <c r="I18" s="9" t="n"/>
      <c r="J18" s="9">
        <f>IF(OR(H18="",I18=""),"",H18*I18)</f>
        <v/>
      </c>
      <c r="K18" s="5">
        <f>IF(H18="","",IF(AND(H18&gt;6,N(G18)&lt;20),"Needs a 20-min break",""))</f>
        <v/>
      </c>
      <c r="L18" s="5">
        <f>IF(OR(M18=0,D18=""),"",IF(SUMPRODUCT(MAX(($D$7:$D$66=D18)*($N$7:$N$66&lt;M18)*$N$7:$N$66))=0,"",IF((M18-SUMPRODUCT(MAX(($D$7:$D$66=D18)*($N$7:$N$66&lt;M18)*$N$7:$N$66)))*24&lt;11,"Under 11h rest","")))</f>
        <v/>
      </c>
      <c r="M18" s="10">
        <f>IF(OR(B18="",E18=""),0,B18+E18)</f>
        <v/>
      </c>
      <c r="N18" s="10">
        <f>IF(OR(B18="",F18=""),0,B18+IF(F18&lt;E18,F18+1,F18))</f>
        <v/>
      </c>
    </row>
    <row r="19">
      <c r="A19" s="5" t="inlineStr">
        <is>
          <t>Tuesday</t>
        </is>
      </c>
      <c r="B19" s="6" t="n"/>
      <c r="C19" s="5" t="inlineStr">
        <is>
          <t>Pass</t>
        </is>
      </c>
      <c r="D19" s="5" t="n"/>
      <c r="E19" s="7" t="n"/>
      <c r="F19" s="7" t="n"/>
      <c r="G19" s="5" t="n"/>
      <c r="H19" s="8">
        <f>IF(OR(E19="",F19=""),"",(IF(F19&lt;E19,F19+1,F19)-E19)*24-N(G19)/60)</f>
        <v/>
      </c>
      <c r="I19" s="9" t="n"/>
      <c r="J19" s="9">
        <f>IF(OR(H19="",I19=""),"",H19*I19)</f>
        <v/>
      </c>
      <c r="K19" s="5">
        <f>IF(H19="","",IF(AND(H19&gt;6,N(G19)&lt;20),"Needs a 20-min break",""))</f>
        <v/>
      </c>
      <c r="L19" s="5">
        <f>IF(OR(M19=0,D19=""),"",IF(SUMPRODUCT(MAX(($D$7:$D$66=D19)*($N$7:$N$66&lt;M19)*$N$7:$N$66))=0,"",IF((M19-SUMPRODUCT(MAX(($D$7:$D$66=D19)*($N$7:$N$66&lt;M19)*$N$7:$N$66)))*24&lt;11,"Under 11h rest","")))</f>
        <v/>
      </c>
      <c r="M19" s="10">
        <f>IF(OR(B19="",E19=""),0,B19+E19)</f>
        <v/>
      </c>
      <c r="N19" s="10">
        <f>IF(OR(B19="",F19=""),0,B19+IF(F19&lt;E19,F19+1,F19))</f>
        <v/>
      </c>
    </row>
    <row r="20">
      <c r="A20" s="5" t="inlineStr">
        <is>
          <t>Tuesday</t>
        </is>
      </c>
      <c r="B20" s="6" t="n"/>
      <c r="C20" s="5" t="inlineStr">
        <is>
          <t>Host</t>
        </is>
      </c>
      <c r="D20" s="5" t="n"/>
      <c r="E20" s="7" t="n"/>
      <c r="F20" s="7" t="n"/>
      <c r="G20" s="5" t="n"/>
      <c r="H20" s="8">
        <f>IF(OR(E20="",F20=""),"",(IF(F20&lt;E20,F20+1,F20)-E20)*24-N(G20)/60)</f>
        <v/>
      </c>
      <c r="I20" s="9" t="n"/>
      <c r="J20" s="9">
        <f>IF(OR(H20="",I20=""),"",H20*I20)</f>
        <v/>
      </c>
      <c r="K20" s="5">
        <f>IF(H20="","",IF(AND(H20&gt;6,N(G20)&lt;20),"Needs a 20-min break",""))</f>
        <v/>
      </c>
      <c r="L20" s="5">
        <f>IF(OR(M20=0,D20=""),"",IF(SUMPRODUCT(MAX(($D$7:$D$66=D20)*($N$7:$N$66&lt;M20)*$N$7:$N$66))=0,"",IF((M20-SUMPRODUCT(MAX(($D$7:$D$66=D20)*($N$7:$N$66&lt;M20)*$N$7:$N$66)))*24&lt;11,"Under 11h rest","")))</f>
        <v/>
      </c>
      <c r="M20" s="10">
        <f>IF(OR(B20="",E20=""),0,B20+E20)</f>
        <v/>
      </c>
      <c r="N20" s="10">
        <f>IF(OR(B20="",F20=""),0,B20+IF(F20&lt;E20,F20+1,F20))</f>
        <v/>
      </c>
    </row>
    <row r="21">
      <c r="A21" s="5" t="inlineStr">
        <is>
          <t>Tuesday</t>
        </is>
      </c>
      <c r="B21" s="6" t="n"/>
      <c r="C21" s="5" t="inlineStr">
        <is>
          <t>Server</t>
        </is>
      </c>
      <c r="D21" s="5" t="n"/>
      <c r="E21" s="7" t="n"/>
      <c r="F21" s="7" t="n"/>
      <c r="G21" s="5" t="n"/>
      <c r="H21" s="8">
        <f>IF(OR(E21="",F21=""),"",(IF(F21&lt;E21,F21+1,F21)-E21)*24-N(G21)/60)</f>
        <v/>
      </c>
      <c r="I21" s="9" t="n"/>
      <c r="J21" s="9">
        <f>IF(OR(H21="",I21=""),"",H21*I21)</f>
        <v/>
      </c>
      <c r="K21" s="5">
        <f>IF(H21="","",IF(AND(H21&gt;6,N(G21)&lt;20),"Needs a 20-min break",""))</f>
        <v/>
      </c>
      <c r="L21" s="5">
        <f>IF(OR(M21=0,D21=""),"",IF(SUMPRODUCT(MAX(($D$7:$D$66=D21)*($N$7:$N$66&lt;M21)*$N$7:$N$66))=0,"",IF((M21-SUMPRODUCT(MAX(($D$7:$D$66=D21)*($N$7:$N$66&lt;M21)*$N$7:$N$66)))*24&lt;11,"Under 11h rest","")))</f>
        <v/>
      </c>
      <c r="M21" s="10">
        <f>IF(OR(B21="",E21=""),0,B21+E21)</f>
        <v/>
      </c>
      <c r="N21" s="10">
        <f>IF(OR(B21="",F21=""),0,B21+IF(F21&lt;E21,F21+1,F21))</f>
        <v/>
      </c>
    </row>
    <row r="22">
      <c r="A22" s="5" t="inlineStr">
        <is>
          <t>Tuesday</t>
        </is>
      </c>
      <c r="B22" s="6" t="n"/>
      <c r="C22" s="5" t="inlineStr">
        <is>
          <t>Runner</t>
        </is>
      </c>
      <c r="D22" s="5" t="n"/>
      <c r="E22" s="7" t="n"/>
      <c r="F22" s="7" t="n"/>
      <c r="G22" s="5" t="n"/>
      <c r="H22" s="8">
        <f>IF(OR(E22="",F22=""),"",(IF(F22&lt;E22,F22+1,F22)-E22)*24-N(G22)/60)</f>
        <v/>
      </c>
      <c r="I22" s="9" t="n"/>
      <c r="J22" s="9">
        <f>IF(OR(H22="",I22=""),"",H22*I22)</f>
        <v/>
      </c>
      <c r="K22" s="5">
        <f>IF(H22="","",IF(AND(H22&gt;6,N(G22)&lt;20),"Needs a 20-min break",""))</f>
        <v/>
      </c>
      <c r="L22" s="5">
        <f>IF(OR(M22=0,D22=""),"",IF(SUMPRODUCT(MAX(($D$7:$D$66=D22)*($N$7:$N$66&lt;M22)*$N$7:$N$66))=0,"",IF((M22-SUMPRODUCT(MAX(($D$7:$D$66=D22)*($N$7:$N$66&lt;M22)*$N$7:$N$66)))*24&lt;11,"Under 11h rest","")))</f>
        <v/>
      </c>
      <c r="M22" s="10">
        <f>IF(OR(B22="",E22=""),0,B22+E22)</f>
        <v/>
      </c>
      <c r="N22" s="10">
        <f>IF(OR(B22="",F22=""),0,B22+IF(F22&lt;E22,F22+1,F22))</f>
        <v/>
      </c>
    </row>
    <row r="23">
      <c r="A23" s="5" t="inlineStr">
        <is>
          <t>Wednesday</t>
        </is>
      </c>
      <c r="B23" s="6" t="n"/>
      <c r="C23" s="5" t="inlineStr">
        <is>
          <t>Head chef</t>
        </is>
      </c>
      <c r="D23" s="5" t="n"/>
      <c r="E23" s="7" t="n"/>
      <c r="F23" s="7" t="n"/>
      <c r="G23" s="5" t="n"/>
      <c r="H23" s="8">
        <f>IF(OR(E23="",F23=""),"",(IF(F23&lt;E23,F23+1,F23)-E23)*24-N(G23)/60)</f>
        <v/>
      </c>
      <c r="I23" s="9" t="n"/>
      <c r="J23" s="9">
        <f>IF(OR(H23="",I23=""),"",H23*I23)</f>
        <v/>
      </c>
      <c r="K23" s="5">
        <f>IF(H23="","",IF(AND(H23&gt;6,N(G23)&lt;20),"Needs a 20-min break",""))</f>
        <v/>
      </c>
      <c r="L23" s="5">
        <f>IF(OR(M23=0,D23=""),"",IF(SUMPRODUCT(MAX(($D$7:$D$66=D23)*($N$7:$N$66&lt;M23)*$N$7:$N$66))=0,"",IF((M23-SUMPRODUCT(MAX(($D$7:$D$66=D23)*($N$7:$N$66&lt;M23)*$N$7:$N$66)))*24&lt;11,"Under 11h rest","")))</f>
        <v/>
      </c>
      <c r="M23" s="10">
        <f>IF(OR(B23="",E23=""),0,B23+E23)</f>
        <v/>
      </c>
      <c r="N23" s="10">
        <f>IF(OR(B23="",F23=""),0,B23+IF(F23&lt;E23,F23+1,F23))</f>
        <v/>
      </c>
    </row>
    <row r="24">
      <c r="A24" s="5" t="inlineStr">
        <is>
          <t>Wednesday</t>
        </is>
      </c>
      <c r="B24" s="6" t="n"/>
      <c r="C24" s="5" t="inlineStr">
        <is>
          <t>Sous chef</t>
        </is>
      </c>
      <c r="D24" s="5" t="n"/>
      <c r="E24" s="7" t="n"/>
      <c r="F24" s="7" t="n"/>
      <c r="G24" s="5" t="n"/>
      <c r="H24" s="8">
        <f>IF(OR(E24="",F24=""),"",(IF(F24&lt;E24,F24+1,F24)-E24)*24-N(G24)/60)</f>
        <v/>
      </c>
      <c r="I24" s="9" t="n"/>
      <c r="J24" s="9">
        <f>IF(OR(H24="",I24=""),"",H24*I24)</f>
        <v/>
      </c>
      <c r="K24" s="5">
        <f>IF(H24="","",IF(AND(H24&gt;6,N(G24)&lt;20),"Needs a 20-min break",""))</f>
        <v/>
      </c>
      <c r="L24" s="5">
        <f>IF(OR(M24=0,D24=""),"",IF(SUMPRODUCT(MAX(($D$7:$D$66=D24)*($N$7:$N$66&lt;M24)*$N$7:$N$66))=0,"",IF((M24-SUMPRODUCT(MAX(($D$7:$D$66=D24)*($N$7:$N$66&lt;M24)*$N$7:$N$66)))*24&lt;11,"Under 11h rest","")))</f>
        <v/>
      </c>
      <c r="M24" s="10">
        <f>IF(OR(B24="",E24=""),0,B24+E24)</f>
        <v/>
      </c>
      <c r="N24" s="10">
        <f>IF(OR(B24="",F24=""),0,B24+IF(F24&lt;E24,F24+1,F24))</f>
        <v/>
      </c>
    </row>
    <row r="25">
      <c r="A25" s="5" t="inlineStr">
        <is>
          <t>Wednesday</t>
        </is>
      </c>
      <c r="B25" s="6" t="n"/>
      <c r="C25" s="5" t="inlineStr">
        <is>
          <t>Chef de partie</t>
        </is>
      </c>
      <c r="D25" s="5" t="n"/>
      <c r="E25" s="7" t="n"/>
      <c r="F25" s="7" t="n"/>
      <c r="G25" s="5" t="n"/>
      <c r="H25" s="8">
        <f>IF(OR(E25="",F25=""),"",(IF(F25&lt;E25,F25+1,F25)-E25)*24-N(G25)/60)</f>
        <v/>
      </c>
      <c r="I25" s="9" t="n"/>
      <c r="J25" s="9">
        <f>IF(OR(H25="",I25=""),"",H25*I25)</f>
        <v/>
      </c>
      <c r="K25" s="5">
        <f>IF(H25="","",IF(AND(H25&gt;6,N(G25)&lt;20),"Needs a 20-min break",""))</f>
        <v/>
      </c>
      <c r="L25" s="5">
        <f>IF(OR(M25=0,D25=""),"",IF(SUMPRODUCT(MAX(($D$7:$D$66=D25)*($N$7:$N$66&lt;M25)*$N$7:$N$66))=0,"",IF((M25-SUMPRODUCT(MAX(($D$7:$D$66=D25)*($N$7:$N$66&lt;M25)*$N$7:$N$66)))*24&lt;11,"Under 11h rest","")))</f>
        <v/>
      </c>
      <c r="M25" s="10">
        <f>IF(OR(B25="",E25=""),0,B25+E25)</f>
        <v/>
      </c>
      <c r="N25" s="10">
        <f>IF(OR(B25="",F25=""),0,B25+IF(F25&lt;E25,F25+1,F25))</f>
        <v/>
      </c>
    </row>
    <row r="26">
      <c r="A26" s="5" t="inlineStr">
        <is>
          <t>Wednesday</t>
        </is>
      </c>
      <c r="B26" s="6" t="n"/>
      <c r="C26" s="5" t="inlineStr">
        <is>
          <t>KP</t>
        </is>
      </c>
      <c r="D26" s="5" t="n"/>
      <c r="E26" s="7" t="n"/>
      <c r="F26" s="7" t="n"/>
      <c r="G26" s="5" t="n"/>
      <c r="H26" s="8">
        <f>IF(OR(E26="",F26=""),"",(IF(F26&lt;E26,F26+1,F26)-E26)*24-N(G26)/60)</f>
        <v/>
      </c>
      <c r="I26" s="9" t="n"/>
      <c r="J26" s="9">
        <f>IF(OR(H26="",I26=""),"",H26*I26)</f>
        <v/>
      </c>
      <c r="K26" s="5">
        <f>IF(H26="","",IF(AND(H26&gt;6,N(G26)&lt;20),"Needs a 20-min break",""))</f>
        <v/>
      </c>
      <c r="L26" s="5">
        <f>IF(OR(M26=0,D26=""),"",IF(SUMPRODUCT(MAX(($D$7:$D$66=D26)*($N$7:$N$66&lt;M26)*$N$7:$N$66))=0,"",IF((M26-SUMPRODUCT(MAX(($D$7:$D$66=D26)*($N$7:$N$66&lt;M26)*$N$7:$N$66)))*24&lt;11,"Under 11h rest","")))</f>
        <v/>
      </c>
      <c r="M26" s="10">
        <f>IF(OR(B26="",E26=""),0,B26+E26)</f>
        <v/>
      </c>
      <c r="N26" s="10">
        <f>IF(OR(B26="",F26=""),0,B26+IF(F26&lt;E26,F26+1,F26))</f>
        <v/>
      </c>
    </row>
    <row r="27">
      <c r="A27" s="5" t="inlineStr">
        <is>
          <t>Wednesday</t>
        </is>
      </c>
      <c r="B27" s="6" t="n"/>
      <c r="C27" s="5" t="inlineStr">
        <is>
          <t>Pass</t>
        </is>
      </c>
      <c r="D27" s="5" t="n"/>
      <c r="E27" s="7" t="n"/>
      <c r="F27" s="7" t="n"/>
      <c r="G27" s="5" t="n"/>
      <c r="H27" s="8">
        <f>IF(OR(E27="",F27=""),"",(IF(F27&lt;E27,F27+1,F27)-E27)*24-N(G27)/60)</f>
        <v/>
      </c>
      <c r="I27" s="9" t="n"/>
      <c r="J27" s="9">
        <f>IF(OR(H27="",I27=""),"",H27*I27)</f>
        <v/>
      </c>
      <c r="K27" s="5">
        <f>IF(H27="","",IF(AND(H27&gt;6,N(G27)&lt;20),"Needs a 20-min break",""))</f>
        <v/>
      </c>
      <c r="L27" s="5">
        <f>IF(OR(M27=0,D27=""),"",IF(SUMPRODUCT(MAX(($D$7:$D$66=D27)*($N$7:$N$66&lt;M27)*$N$7:$N$66))=0,"",IF((M27-SUMPRODUCT(MAX(($D$7:$D$66=D27)*($N$7:$N$66&lt;M27)*$N$7:$N$66)))*24&lt;11,"Under 11h rest","")))</f>
        <v/>
      </c>
      <c r="M27" s="10">
        <f>IF(OR(B27="",E27=""),0,B27+E27)</f>
        <v/>
      </c>
      <c r="N27" s="10">
        <f>IF(OR(B27="",F27=""),0,B27+IF(F27&lt;E27,F27+1,F27))</f>
        <v/>
      </c>
    </row>
    <row r="28">
      <c r="A28" s="5" t="inlineStr">
        <is>
          <t>Wednesday</t>
        </is>
      </c>
      <c r="B28" s="6" t="n"/>
      <c r="C28" s="5" t="inlineStr">
        <is>
          <t>Host</t>
        </is>
      </c>
      <c r="D28" s="5" t="n"/>
      <c r="E28" s="7" t="n"/>
      <c r="F28" s="7" t="n"/>
      <c r="G28" s="5" t="n"/>
      <c r="H28" s="8">
        <f>IF(OR(E28="",F28=""),"",(IF(F28&lt;E28,F28+1,F28)-E28)*24-N(G28)/60)</f>
        <v/>
      </c>
      <c r="I28" s="9" t="n"/>
      <c r="J28" s="9">
        <f>IF(OR(H28="",I28=""),"",H28*I28)</f>
        <v/>
      </c>
      <c r="K28" s="5">
        <f>IF(H28="","",IF(AND(H28&gt;6,N(G28)&lt;20),"Needs a 20-min break",""))</f>
        <v/>
      </c>
      <c r="L28" s="5">
        <f>IF(OR(M28=0,D28=""),"",IF(SUMPRODUCT(MAX(($D$7:$D$66=D28)*($N$7:$N$66&lt;M28)*$N$7:$N$66))=0,"",IF((M28-SUMPRODUCT(MAX(($D$7:$D$66=D28)*($N$7:$N$66&lt;M28)*$N$7:$N$66)))*24&lt;11,"Under 11h rest","")))</f>
        <v/>
      </c>
      <c r="M28" s="10">
        <f>IF(OR(B28="",E28=""),0,B28+E28)</f>
        <v/>
      </c>
      <c r="N28" s="10">
        <f>IF(OR(B28="",F28=""),0,B28+IF(F28&lt;E28,F28+1,F28))</f>
        <v/>
      </c>
    </row>
    <row r="29">
      <c r="A29" s="5" t="inlineStr">
        <is>
          <t>Wednesday</t>
        </is>
      </c>
      <c r="B29" s="6" t="n"/>
      <c r="C29" s="5" t="inlineStr">
        <is>
          <t>Server</t>
        </is>
      </c>
      <c r="D29" s="5" t="n"/>
      <c r="E29" s="7" t="n"/>
      <c r="F29" s="7" t="n"/>
      <c r="G29" s="5" t="n"/>
      <c r="H29" s="8">
        <f>IF(OR(E29="",F29=""),"",(IF(F29&lt;E29,F29+1,F29)-E29)*24-N(G29)/60)</f>
        <v/>
      </c>
      <c r="I29" s="9" t="n"/>
      <c r="J29" s="9">
        <f>IF(OR(H29="",I29=""),"",H29*I29)</f>
        <v/>
      </c>
      <c r="K29" s="5">
        <f>IF(H29="","",IF(AND(H29&gt;6,N(G29)&lt;20),"Needs a 20-min break",""))</f>
        <v/>
      </c>
      <c r="L29" s="5">
        <f>IF(OR(M29=0,D29=""),"",IF(SUMPRODUCT(MAX(($D$7:$D$66=D29)*($N$7:$N$66&lt;M29)*$N$7:$N$66))=0,"",IF((M29-SUMPRODUCT(MAX(($D$7:$D$66=D29)*($N$7:$N$66&lt;M29)*$N$7:$N$66)))*24&lt;11,"Under 11h rest","")))</f>
        <v/>
      </c>
      <c r="M29" s="10">
        <f>IF(OR(B29="",E29=""),0,B29+E29)</f>
        <v/>
      </c>
      <c r="N29" s="10">
        <f>IF(OR(B29="",F29=""),0,B29+IF(F29&lt;E29,F29+1,F29))</f>
        <v/>
      </c>
    </row>
    <row r="30">
      <c r="A30" s="5" t="inlineStr">
        <is>
          <t>Wednesday</t>
        </is>
      </c>
      <c r="B30" s="6" t="n"/>
      <c r="C30" s="5" t="inlineStr">
        <is>
          <t>Runner</t>
        </is>
      </c>
      <c r="D30" s="5" t="n"/>
      <c r="E30" s="7" t="n"/>
      <c r="F30" s="7" t="n"/>
      <c r="G30" s="5" t="n"/>
      <c r="H30" s="8">
        <f>IF(OR(E30="",F30=""),"",(IF(F30&lt;E30,F30+1,F30)-E30)*24-N(G30)/60)</f>
        <v/>
      </c>
      <c r="I30" s="9" t="n"/>
      <c r="J30" s="9">
        <f>IF(OR(H30="",I30=""),"",H30*I30)</f>
        <v/>
      </c>
      <c r="K30" s="5">
        <f>IF(H30="","",IF(AND(H30&gt;6,N(G30)&lt;20),"Needs a 20-min break",""))</f>
        <v/>
      </c>
      <c r="L30" s="5">
        <f>IF(OR(M30=0,D30=""),"",IF(SUMPRODUCT(MAX(($D$7:$D$66=D30)*($N$7:$N$66&lt;M30)*$N$7:$N$66))=0,"",IF((M30-SUMPRODUCT(MAX(($D$7:$D$66=D30)*($N$7:$N$66&lt;M30)*$N$7:$N$66)))*24&lt;11,"Under 11h rest","")))</f>
        <v/>
      </c>
      <c r="M30" s="10">
        <f>IF(OR(B30="",E30=""),0,B30+E30)</f>
        <v/>
      </c>
      <c r="N30" s="10">
        <f>IF(OR(B30="",F30=""),0,B30+IF(F30&lt;E30,F30+1,F30))</f>
        <v/>
      </c>
    </row>
    <row r="31">
      <c r="A31" s="5" t="inlineStr">
        <is>
          <t>Thursday</t>
        </is>
      </c>
      <c r="B31" s="6" t="n"/>
      <c r="C31" s="5" t="inlineStr">
        <is>
          <t>Head chef</t>
        </is>
      </c>
      <c r="D31" s="5" t="n"/>
      <c r="E31" s="7" t="n"/>
      <c r="F31" s="7" t="n"/>
      <c r="G31" s="5" t="n"/>
      <c r="H31" s="8">
        <f>IF(OR(E31="",F31=""),"",(IF(F31&lt;E31,F31+1,F31)-E31)*24-N(G31)/60)</f>
        <v/>
      </c>
      <c r="I31" s="9" t="n"/>
      <c r="J31" s="9">
        <f>IF(OR(H31="",I31=""),"",H31*I31)</f>
        <v/>
      </c>
      <c r="K31" s="5">
        <f>IF(H31="","",IF(AND(H31&gt;6,N(G31)&lt;20),"Needs a 20-min break",""))</f>
        <v/>
      </c>
      <c r="L31" s="5">
        <f>IF(OR(M31=0,D31=""),"",IF(SUMPRODUCT(MAX(($D$7:$D$66=D31)*($N$7:$N$66&lt;M31)*$N$7:$N$66))=0,"",IF((M31-SUMPRODUCT(MAX(($D$7:$D$66=D31)*($N$7:$N$66&lt;M31)*$N$7:$N$66)))*24&lt;11,"Under 11h rest","")))</f>
        <v/>
      </c>
      <c r="M31" s="10">
        <f>IF(OR(B31="",E31=""),0,B31+E31)</f>
        <v/>
      </c>
      <c r="N31" s="10">
        <f>IF(OR(B31="",F31=""),0,B31+IF(F31&lt;E31,F31+1,F31))</f>
        <v/>
      </c>
    </row>
    <row r="32">
      <c r="A32" s="5" t="inlineStr">
        <is>
          <t>Thursday</t>
        </is>
      </c>
      <c r="B32" s="6" t="n"/>
      <c r="C32" s="5" t="inlineStr">
        <is>
          <t>Sous chef</t>
        </is>
      </c>
      <c r="D32" s="5" t="n"/>
      <c r="E32" s="7" t="n"/>
      <c r="F32" s="7" t="n"/>
      <c r="G32" s="5" t="n"/>
      <c r="H32" s="8">
        <f>IF(OR(E32="",F32=""),"",(IF(F32&lt;E32,F32+1,F32)-E32)*24-N(G32)/60)</f>
        <v/>
      </c>
      <c r="I32" s="9" t="n"/>
      <c r="J32" s="9">
        <f>IF(OR(H32="",I32=""),"",H32*I32)</f>
        <v/>
      </c>
      <c r="K32" s="5">
        <f>IF(H32="","",IF(AND(H32&gt;6,N(G32)&lt;20),"Needs a 20-min break",""))</f>
        <v/>
      </c>
      <c r="L32" s="5">
        <f>IF(OR(M32=0,D32=""),"",IF(SUMPRODUCT(MAX(($D$7:$D$66=D32)*($N$7:$N$66&lt;M32)*$N$7:$N$66))=0,"",IF((M32-SUMPRODUCT(MAX(($D$7:$D$66=D32)*($N$7:$N$66&lt;M32)*$N$7:$N$66)))*24&lt;11,"Under 11h rest","")))</f>
        <v/>
      </c>
      <c r="M32" s="10">
        <f>IF(OR(B32="",E32=""),0,B32+E32)</f>
        <v/>
      </c>
      <c r="N32" s="10">
        <f>IF(OR(B32="",F32=""),0,B32+IF(F32&lt;E32,F32+1,F32))</f>
        <v/>
      </c>
    </row>
    <row r="33">
      <c r="A33" s="5" t="inlineStr">
        <is>
          <t>Thursday</t>
        </is>
      </c>
      <c r="B33" s="6" t="n"/>
      <c r="C33" s="5" t="inlineStr">
        <is>
          <t>Chef de partie</t>
        </is>
      </c>
      <c r="D33" s="5" t="n"/>
      <c r="E33" s="7" t="n"/>
      <c r="F33" s="7" t="n"/>
      <c r="G33" s="5" t="n"/>
      <c r="H33" s="8">
        <f>IF(OR(E33="",F33=""),"",(IF(F33&lt;E33,F33+1,F33)-E33)*24-N(G33)/60)</f>
        <v/>
      </c>
      <c r="I33" s="9" t="n"/>
      <c r="J33" s="9">
        <f>IF(OR(H33="",I33=""),"",H33*I33)</f>
        <v/>
      </c>
      <c r="K33" s="5">
        <f>IF(H33="","",IF(AND(H33&gt;6,N(G33)&lt;20),"Needs a 20-min break",""))</f>
        <v/>
      </c>
      <c r="L33" s="5">
        <f>IF(OR(M33=0,D33=""),"",IF(SUMPRODUCT(MAX(($D$7:$D$66=D33)*($N$7:$N$66&lt;M33)*$N$7:$N$66))=0,"",IF((M33-SUMPRODUCT(MAX(($D$7:$D$66=D33)*($N$7:$N$66&lt;M33)*$N$7:$N$66)))*24&lt;11,"Under 11h rest","")))</f>
        <v/>
      </c>
      <c r="M33" s="10">
        <f>IF(OR(B33="",E33=""),0,B33+E33)</f>
        <v/>
      </c>
      <c r="N33" s="10">
        <f>IF(OR(B33="",F33=""),0,B33+IF(F33&lt;E33,F33+1,F33))</f>
        <v/>
      </c>
    </row>
    <row r="34">
      <c r="A34" s="5" t="inlineStr">
        <is>
          <t>Thursday</t>
        </is>
      </c>
      <c r="B34" s="6" t="n"/>
      <c r="C34" s="5" t="inlineStr">
        <is>
          <t>KP</t>
        </is>
      </c>
      <c r="D34" s="5" t="n"/>
      <c r="E34" s="7" t="n"/>
      <c r="F34" s="7" t="n"/>
      <c r="G34" s="5" t="n"/>
      <c r="H34" s="8">
        <f>IF(OR(E34="",F34=""),"",(IF(F34&lt;E34,F34+1,F34)-E34)*24-N(G34)/60)</f>
        <v/>
      </c>
      <c r="I34" s="9" t="n"/>
      <c r="J34" s="9">
        <f>IF(OR(H34="",I34=""),"",H34*I34)</f>
        <v/>
      </c>
      <c r="K34" s="5">
        <f>IF(H34="","",IF(AND(H34&gt;6,N(G34)&lt;20),"Needs a 20-min break",""))</f>
        <v/>
      </c>
      <c r="L34" s="5">
        <f>IF(OR(M34=0,D34=""),"",IF(SUMPRODUCT(MAX(($D$7:$D$66=D34)*($N$7:$N$66&lt;M34)*$N$7:$N$66))=0,"",IF((M34-SUMPRODUCT(MAX(($D$7:$D$66=D34)*($N$7:$N$66&lt;M34)*$N$7:$N$66)))*24&lt;11,"Under 11h rest","")))</f>
        <v/>
      </c>
      <c r="M34" s="10">
        <f>IF(OR(B34="",E34=""),0,B34+E34)</f>
        <v/>
      </c>
      <c r="N34" s="10">
        <f>IF(OR(B34="",F34=""),0,B34+IF(F34&lt;E34,F34+1,F34))</f>
        <v/>
      </c>
    </row>
    <row r="35">
      <c r="A35" s="5" t="inlineStr">
        <is>
          <t>Thursday</t>
        </is>
      </c>
      <c r="B35" s="6" t="n"/>
      <c r="C35" s="5" t="inlineStr">
        <is>
          <t>Pass</t>
        </is>
      </c>
      <c r="D35" s="5" t="n"/>
      <c r="E35" s="7" t="n"/>
      <c r="F35" s="7" t="n"/>
      <c r="G35" s="5" t="n"/>
      <c r="H35" s="8">
        <f>IF(OR(E35="",F35=""),"",(IF(F35&lt;E35,F35+1,F35)-E35)*24-N(G35)/60)</f>
        <v/>
      </c>
      <c r="I35" s="9" t="n"/>
      <c r="J35" s="9">
        <f>IF(OR(H35="",I35=""),"",H35*I35)</f>
        <v/>
      </c>
      <c r="K35" s="5">
        <f>IF(H35="","",IF(AND(H35&gt;6,N(G35)&lt;20),"Needs a 20-min break",""))</f>
        <v/>
      </c>
      <c r="L35" s="5">
        <f>IF(OR(M35=0,D35=""),"",IF(SUMPRODUCT(MAX(($D$7:$D$66=D35)*($N$7:$N$66&lt;M35)*$N$7:$N$66))=0,"",IF((M35-SUMPRODUCT(MAX(($D$7:$D$66=D35)*($N$7:$N$66&lt;M35)*$N$7:$N$66)))*24&lt;11,"Under 11h rest","")))</f>
        <v/>
      </c>
      <c r="M35" s="10">
        <f>IF(OR(B35="",E35=""),0,B35+E35)</f>
        <v/>
      </c>
      <c r="N35" s="10">
        <f>IF(OR(B35="",F35=""),0,B35+IF(F35&lt;E35,F35+1,F35))</f>
        <v/>
      </c>
    </row>
    <row r="36">
      <c r="A36" s="5" t="inlineStr">
        <is>
          <t>Thursday</t>
        </is>
      </c>
      <c r="B36" s="6" t="n"/>
      <c r="C36" s="5" t="inlineStr">
        <is>
          <t>Host</t>
        </is>
      </c>
      <c r="D36" s="5" t="n"/>
      <c r="E36" s="7" t="n"/>
      <c r="F36" s="7" t="n"/>
      <c r="G36" s="5" t="n"/>
      <c r="H36" s="8">
        <f>IF(OR(E36="",F36=""),"",(IF(F36&lt;E36,F36+1,F36)-E36)*24-N(G36)/60)</f>
        <v/>
      </c>
      <c r="I36" s="9" t="n"/>
      <c r="J36" s="9">
        <f>IF(OR(H36="",I36=""),"",H36*I36)</f>
        <v/>
      </c>
      <c r="K36" s="5">
        <f>IF(H36="","",IF(AND(H36&gt;6,N(G36)&lt;20),"Needs a 20-min break",""))</f>
        <v/>
      </c>
      <c r="L36" s="5">
        <f>IF(OR(M36=0,D36=""),"",IF(SUMPRODUCT(MAX(($D$7:$D$66=D36)*($N$7:$N$66&lt;M36)*$N$7:$N$66))=0,"",IF((M36-SUMPRODUCT(MAX(($D$7:$D$66=D36)*($N$7:$N$66&lt;M36)*$N$7:$N$66)))*24&lt;11,"Under 11h rest","")))</f>
        <v/>
      </c>
      <c r="M36" s="10">
        <f>IF(OR(B36="",E36=""),0,B36+E36)</f>
        <v/>
      </c>
      <c r="N36" s="10">
        <f>IF(OR(B36="",F36=""),0,B36+IF(F36&lt;E36,F36+1,F36))</f>
        <v/>
      </c>
    </row>
    <row r="37">
      <c r="A37" s="5" t="inlineStr">
        <is>
          <t>Thursday</t>
        </is>
      </c>
      <c r="B37" s="6" t="n"/>
      <c r="C37" s="5" t="inlineStr">
        <is>
          <t>Server</t>
        </is>
      </c>
      <c r="D37" s="5" t="n"/>
      <c r="E37" s="7" t="n"/>
      <c r="F37" s="7" t="n"/>
      <c r="G37" s="5" t="n"/>
      <c r="H37" s="8">
        <f>IF(OR(E37="",F37=""),"",(IF(F37&lt;E37,F37+1,F37)-E37)*24-N(G37)/60)</f>
        <v/>
      </c>
      <c r="I37" s="9" t="n"/>
      <c r="J37" s="9">
        <f>IF(OR(H37="",I37=""),"",H37*I37)</f>
        <v/>
      </c>
      <c r="K37" s="5">
        <f>IF(H37="","",IF(AND(H37&gt;6,N(G37)&lt;20),"Needs a 20-min break",""))</f>
        <v/>
      </c>
      <c r="L37" s="5">
        <f>IF(OR(M37=0,D37=""),"",IF(SUMPRODUCT(MAX(($D$7:$D$66=D37)*($N$7:$N$66&lt;M37)*$N$7:$N$66))=0,"",IF((M37-SUMPRODUCT(MAX(($D$7:$D$66=D37)*($N$7:$N$66&lt;M37)*$N$7:$N$66)))*24&lt;11,"Under 11h rest","")))</f>
        <v/>
      </c>
      <c r="M37" s="10">
        <f>IF(OR(B37="",E37=""),0,B37+E37)</f>
        <v/>
      </c>
      <c r="N37" s="10">
        <f>IF(OR(B37="",F37=""),0,B37+IF(F37&lt;E37,F37+1,F37))</f>
        <v/>
      </c>
    </row>
    <row r="38">
      <c r="A38" s="5" t="inlineStr">
        <is>
          <t>Thursday</t>
        </is>
      </c>
      <c r="B38" s="6" t="n"/>
      <c r="C38" s="5" t="inlineStr">
        <is>
          <t>Runner</t>
        </is>
      </c>
      <c r="D38" s="5" t="n"/>
      <c r="E38" s="7" t="n"/>
      <c r="F38" s="7" t="n"/>
      <c r="G38" s="5" t="n"/>
      <c r="H38" s="8">
        <f>IF(OR(E38="",F38=""),"",(IF(F38&lt;E38,F38+1,F38)-E38)*24-N(G38)/60)</f>
        <v/>
      </c>
      <c r="I38" s="9" t="n"/>
      <c r="J38" s="9">
        <f>IF(OR(H38="",I38=""),"",H38*I38)</f>
        <v/>
      </c>
      <c r="K38" s="5">
        <f>IF(H38="","",IF(AND(H38&gt;6,N(G38)&lt;20),"Needs a 20-min break",""))</f>
        <v/>
      </c>
      <c r="L38" s="5">
        <f>IF(OR(M38=0,D38=""),"",IF(SUMPRODUCT(MAX(($D$7:$D$66=D38)*($N$7:$N$66&lt;M38)*$N$7:$N$66))=0,"",IF((M38-SUMPRODUCT(MAX(($D$7:$D$66=D38)*($N$7:$N$66&lt;M38)*$N$7:$N$66)))*24&lt;11,"Under 11h rest","")))</f>
        <v/>
      </c>
      <c r="M38" s="10">
        <f>IF(OR(B38="",E38=""),0,B38+E38)</f>
        <v/>
      </c>
      <c r="N38" s="10">
        <f>IF(OR(B38="",F38=""),0,B38+IF(F38&lt;E38,F38+1,F38))</f>
        <v/>
      </c>
    </row>
    <row r="39">
      <c r="A39" s="5" t="inlineStr">
        <is>
          <t>Friday</t>
        </is>
      </c>
      <c r="B39" s="6" t="n"/>
      <c r="C39" s="5" t="inlineStr">
        <is>
          <t>Head chef</t>
        </is>
      </c>
      <c r="D39" s="5" t="n"/>
      <c r="E39" s="7" t="n"/>
      <c r="F39" s="7" t="n"/>
      <c r="G39" s="5" t="n"/>
      <c r="H39" s="8">
        <f>IF(OR(E39="",F39=""),"",(IF(F39&lt;E39,F39+1,F39)-E39)*24-N(G39)/60)</f>
        <v/>
      </c>
      <c r="I39" s="9" t="n"/>
      <c r="J39" s="9">
        <f>IF(OR(H39="",I39=""),"",H39*I39)</f>
        <v/>
      </c>
      <c r="K39" s="5">
        <f>IF(H39="","",IF(AND(H39&gt;6,N(G39)&lt;20),"Needs a 20-min break",""))</f>
        <v/>
      </c>
      <c r="L39" s="5">
        <f>IF(OR(M39=0,D39=""),"",IF(SUMPRODUCT(MAX(($D$7:$D$66=D39)*($N$7:$N$66&lt;M39)*$N$7:$N$66))=0,"",IF((M39-SUMPRODUCT(MAX(($D$7:$D$66=D39)*($N$7:$N$66&lt;M39)*$N$7:$N$66)))*24&lt;11,"Under 11h rest","")))</f>
        <v/>
      </c>
      <c r="M39" s="10">
        <f>IF(OR(B39="",E39=""),0,B39+E39)</f>
        <v/>
      </c>
      <c r="N39" s="10">
        <f>IF(OR(B39="",F39=""),0,B39+IF(F39&lt;E39,F39+1,F39))</f>
        <v/>
      </c>
    </row>
    <row r="40">
      <c r="A40" s="5" t="inlineStr">
        <is>
          <t>Friday</t>
        </is>
      </c>
      <c r="B40" s="6" t="n"/>
      <c r="C40" s="5" t="inlineStr">
        <is>
          <t>Sous chef</t>
        </is>
      </c>
      <c r="D40" s="5" t="n"/>
      <c r="E40" s="7" t="n"/>
      <c r="F40" s="7" t="n"/>
      <c r="G40" s="5" t="n"/>
      <c r="H40" s="8">
        <f>IF(OR(E40="",F40=""),"",(IF(F40&lt;E40,F40+1,F40)-E40)*24-N(G40)/60)</f>
        <v/>
      </c>
      <c r="I40" s="9" t="n"/>
      <c r="J40" s="9">
        <f>IF(OR(H40="",I40=""),"",H40*I40)</f>
        <v/>
      </c>
      <c r="K40" s="5">
        <f>IF(H40="","",IF(AND(H40&gt;6,N(G40)&lt;20),"Needs a 20-min break",""))</f>
        <v/>
      </c>
      <c r="L40" s="5">
        <f>IF(OR(M40=0,D40=""),"",IF(SUMPRODUCT(MAX(($D$7:$D$66=D40)*($N$7:$N$66&lt;M40)*$N$7:$N$66))=0,"",IF((M40-SUMPRODUCT(MAX(($D$7:$D$66=D40)*($N$7:$N$66&lt;M40)*$N$7:$N$66)))*24&lt;11,"Under 11h rest","")))</f>
        <v/>
      </c>
      <c r="M40" s="10">
        <f>IF(OR(B40="",E40=""),0,B40+E40)</f>
        <v/>
      </c>
      <c r="N40" s="10">
        <f>IF(OR(B40="",F40=""),0,B40+IF(F40&lt;E40,F40+1,F40))</f>
        <v/>
      </c>
    </row>
    <row r="41">
      <c r="A41" s="5" t="inlineStr">
        <is>
          <t>Friday</t>
        </is>
      </c>
      <c r="B41" s="6" t="n"/>
      <c r="C41" s="5" t="inlineStr">
        <is>
          <t>Chef de partie</t>
        </is>
      </c>
      <c r="D41" s="5" t="n"/>
      <c r="E41" s="7" t="n"/>
      <c r="F41" s="7" t="n"/>
      <c r="G41" s="5" t="n"/>
      <c r="H41" s="8">
        <f>IF(OR(E41="",F41=""),"",(IF(F41&lt;E41,F41+1,F41)-E41)*24-N(G41)/60)</f>
        <v/>
      </c>
      <c r="I41" s="9" t="n"/>
      <c r="J41" s="9">
        <f>IF(OR(H41="",I41=""),"",H41*I41)</f>
        <v/>
      </c>
      <c r="K41" s="5">
        <f>IF(H41="","",IF(AND(H41&gt;6,N(G41)&lt;20),"Needs a 20-min break",""))</f>
        <v/>
      </c>
      <c r="L41" s="5">
        <f>IF(OR(M41=0,D41=""),"",IF(SUMPRODUCT(MAX(($D$7:$D$66=D41)*($N$7:$N$66&lt;M41)*$N$7:$N$66))=0,"",IF((M41-SUMPRODUCT(MAX(($D$7:$D$66=D41)*($N$7:$N$66&lt;M41)*$N$7:$N$66)))*24&lt;11,"Under 11h rest","")))</f>
        <v/>
      </c>
      <c r="M41" s="10">
        <f>IF(OR(B41="",E41=""),0,B41+E41)</f>
        <v/>
      </c>
      <c r="N41" s="10">
        <f>IF(OR(B41="",F41=""),0,B41+IF(F41&lt;E41,F41+1,F41))</f>
        <v/>
      </c>
    </row>
    <row r="42">
      <c r="A42" s="5" t="inlineStr">
        <is>
          <t>Friday</t>
        </is>
      </c>
      <c r="B42" s="6" t="n"/>
      <c r="C42" s="5" t="inlineStr">
        <is>
          <t>KP</t>
        </is>
      </c>
      <c r="D42" s="5" t="n"/>
      <c r="E42" s="7" t="n"/>
      <c r="F42" s="7" t="n"/>
      <c r="G42" s="5" t="n"/>
      <c r="H42" s="8">
        <f>IF(OR(E42="",F42=""),"",(IF(F42&lt;E42,F42+1,F42)-E42)*24-N(G42)/60)</f>
        <v/>
      </c>
      <c r="I42" s="9" t="n"/>
      <c r="J42" s="9">
        <f>IF(OR(H42="",I42=""),"",H42*I42)</f>
        <v/>
      </c>
      <c r="K42" s="5">
        <f>IF(H42="","",IF(AND(H42&gt;6,N(G42)&lt;20),"Needs a 20-min break",""))</f>
        <v/>
      </c>
      <c r="L42" s="5">
        <f>IF(OR(M42=0,D42=""),"",IF(SUMPRODUCT(MAX(($D$7:$D$66=D42)*($N$7:$N$66&lt;M42)*$N$7:$N$66))=0,"",IF((M42-SUMPRODUCT(MAX(($D$7:$D$66=D42)*($N$7:$N$66&lt;M42)*$N$7:$N$66)))*24&lt;11,"Under 11h rest","")))</f>
        <v/>
      </c>
      <c r="M42" s="10">
        <f>IF(OR(B42="",E42=""),0,B42+E42)</f>
        <v/>
      </c>
      <c r="N42" s="10">
        <f>IF(OR(B42="",F42=""),0,B42+IF(F42&lt;E42,F42+1,F42))</f>
        <v/>
      </c>
    </row>
    <row r="43">
      <c r="A43" s="5" t="inlineStr">
        <is>
          <t>Friday</t>
        </is>
      </c>
      <c r="B43" s="6" t="n"/>
      <c r="C43" s="5" t="inlineStr">
        <is>
          <t>Pass</t>
        </is>
      </c>
      <c r="D43" s="5" t="n"/>
      <c r="E43" s="7" t="n"/>
      <c r="F43" s="7" t="n"/>
      <c r="G43" s="5" t="n"/>
      <c r="H43" s="8">
        <f>IF(OR(E43="",F43=""),"",(IF(F43&lt;E43,F43+1,F43)-E43)*24-N(G43)/60)</f>
        <v/>
      </c>
      <c r="I43" s="9" t="n"/>
      <c r="J43" s="9">
        <f>IF(OR(H43="",I43=""),"",H43*I43)</f>
        <v/>
      </c>
      <c r="K43" s="5">
        <f>IF(H43="","",IF(AND(H43&gt;6,N(G43)&lt;20),"Needs a 20-min break",""))</f>
        <v/>
      </c>
      <c r="L43" s="5">
        <f>IF(OR(M43=0,D43=""),"",IF(SUMPRODUCT(MAX(($D$7:$D$66=D43)*($N$7:$N$66&lt;M43)*$N$7:$N$66))=0,"",IF((M43-SUMPRODUCT(MAX(($D$7:$D$66=D43)*($N$7:$N$66&lt;M43)*$N$7:$N$66)))*24&lt;11,"Under 11h rest","")))</f>
        <v/>
      </c>
      <c r="M43" s="10">
        <f>IF(OR(B43="",E43=""),0,B43+E43)</f>
        <v/>
      </c>
      <c r="N43" s="10">
        <f>IF(OR(B43="",F43=""),0,B43+IF(F43&lt;E43,F43+1,F43))</f>
        <v/>
      </c>
    </row>
    <row r="44">
      <c r="A44" s="5" t="inlineStr">
        <is>
          <t>Friday</t>
        </is>
      </c>
      <c r="B44" s="6" t="n"/>
      <c r="C44" s="5" t="inlineStr">
        <is>
          <t>Host</t>
        </is>
      </c>
      <c r="D44" s="5" t="n"/>
      <c r="E44" s="7" t="n"/>
      <c r="F44" s="7" t="n"/>
      <c r="G44" s="5" t="n"/>
      <c r="H44" s="8">
        <f>IF(OR(E44="",F44=""),"",(IF(F44&lt;E44,F44+1,F44)-E44)*24-N(G44)/60)</f>
        <v/>
      </c>
      <c r="I44" s="9" t="n"/>
      <c r="J44" s="9">
        <f>IF(OR(H44="",I44=""),"",H44*I44)</f>
        <v/>
      </c>
      <c r="K44" s="5">
        <f>IF(H44="","",IF(AND(H44&gt;6,N(G44)&lt;20),"Needs a 20-min break",""))</f>
        <v/>
      </c>
      <c r="L44" s="5">
        <f>IF(OR(M44=0,D44=""),"",IF(SUMPRODUCT(MAX(($D$7:$D$66=D44)*($N$7:$N$66&lt;M44)*$N$7:$N$66))=0,"",IF((M44-SUMPRODUCT(MAX(($D$7:$D$66=D44)*($N$7:$N$66&lt;M44)*$N$7:$N$66)))*24&lt;11,"Under 11h rest","")))</f>
        <v/>
      </c>
      <c r="M44" s="10">
        <f>IF(OR(B44="",E44=""),0,B44+E44)</f>
        <v/>
      </c>
      <c r="N44" s="10">
        <f>IF(OR(B44="",F44=""),0,B44+IF(F44&lt;E44,F44+1,F44))</f>
        <v/>
      </c>
    </row>
    <row r="45">
      <c r="A45" s="5" t="inlineStr">
        <is>
          <t>Friday</t>
        </is>
      </c>
      <c r="B45" s="6" t="n"/>
      <c r="C45" s="5" t="inlineStr">
        <is>
          <t>Server</t>
        </is>
      </c>
      <c r="D45" s="5" t="n"/>
      <c r="E45" s="7" t="n"/>
      <c r="F45" s="7" t="n"/>
      <c r="G45" s="5" t="n"/>
      <c r="H45" s="8">
        <f>IF(OR(E45="",F45=""),"",(IF(F45&lt;E45,F45+1,F45)-E45)*24-N(G45)/60)</f>
        <v/>
      </c>
      <c r="I45" s="9" t="n"/>
      <c r="J45" s="9">
        <f>IF(OR(H45="",I45=""),"",H45*I45)</f>
        <v/>
      </c>
      <c r="K45" s="5">
        <f>IF(H45="","",IF(AND(H45&gt;6,N(G45)&lt;20),"Needs a 20-min break",""))</f>
        <v/>
      </c>
      <c r="L45" s="5">
        <f>IF(OR(M45=0,D45=""),"",IF(SUMPRODUCT(MAX(($D$7:$D$66=D45)*($N$7:$N$66&lt;M45)*$N$7:$N$66))=0,"",IF((M45-SUMPRODUCT(MAX(($D$7:$D$66=D45)*($N$7:$N$66&lt;M45)*$N$7:$N$66)))*24&lt;11,"Under 11h rest","")))</f>
        <v/>
      </c>
      <c r="M45" s="10">
        <f>IF(OR(B45="",E45=""),0,B45+E45)</f>
        <v/>
      </c>
      <c r="N45" s="10">
        <f>IF(OR(B45="",F45=""),0,B45+IF(F45&lt;E45,F45+1,F45))</f>
        <v/>
      </c>
    </row>
    <row r="46">
      <c r="A46" s="5" t="inlineStr">
        <is>
          <t>Friday</t>
        </is>
      </c>
      <c r="B46" s="6" t="n"/>
      <c r="C46" s="5" t="inlineStr">
        <is>
          <t>Runner</t>
        </is>
      </c>
      <c r="D46" s="5" t="n"/>
      <c r="E46" s="7" t="n"/>
      <c r="F46" s="7" t="n"/>
      <c r="G46" s="5" t="n"/>
      <c r="H46" s="8">
        <f>IF(OR(E46="",F46=""),"",(IF(F46&lt;E46,F46+1,F46)-E46)*24-N(G46)/60)</f>
        <v/>
      </c>
      <c r="I46" s="9" t="n"/>
      <c r="J46" s="9">
        <f>IF(OR(H46="",I46=""),"",H46*I46)</f>
        <v/>
      </c>
      <c r="K46" s="5">
        <f>IF(H46="","",IF(AND(H46&gt;6,N(G46)&lt;20),"Needs a 20-min break",""))</f>
        <v/>
      </c>
      <c r="L46" s="5">
        <f>IF(OR(M46=0,D46=""),"",IF(SUMPRODUCT(MAX(($D$7:$D$66=D46)*($N$7:$N$66&lt;M46)*$N$7:$N$66))=0,"",IF((M46-SUMPRODUCT(MAX(($D$7:$D$66=D46)*($N$7:$N$66&lt;M46)*$N$7:$N$66)))*24&lt;11,"Under 11h rest","")))</f>
        <v/>
      </c>
      <c r="M46" s="10">
        <f>IF(OR(B46="",E46=""),0,B46+E46)</f>
        <v/>
      </c>
      <c r="N46" s="10">
        <f>IF(OR(B46="",F46=""),0,B46+IF(F46&lt;E46,F46+1,F46))</f>
        <v/>
      </c>
    </row>
    <row r="47">
      <c r="A47" s="5" t="inlineStr">
        <is>
          <t>Saturday</t>
        </is>
      </c>
      <c r="B47" s="6" t="n"/>
      <c r="C47" s="5" t="inlineStr">
        <is>
          <t>Head chef</t>
        </is>
      </c>
      <c r="D47" s="5" t="n"/>
      <c r="E47" s="7" t="n"/>
      <c r="F47" s="7" t="n"/>
      <c r="G47" s="5" t="n"/>
      <c r="H47" s="8">
        <f>IF(OR(E47="",F47=""),"",(IF(F47&lt;E47,F47+1,F47)-E47)*24-N(G47)/60)</f>
        <v/>
      </c>
      <c r="I47" s="9" t="n"/>
      <c r="J47" s="9">
        <f>IF(OR(H47="",I47=""),"",H47*I47)</f>
        <v/>
      </c>
      <c r="K47" s="5">
        <f>IF(H47="","",IF(AND(H47&gt;6,N(G47)&lt;20),"Needs a 20-min break",""))</f>
        <v/>
      </c>
      <c r="L47" s="5">
        <f>IF(OR(M47=0,D47=""),"",IF(SUMPRODUCT(MAX(($D$7:$D$66=D47)*($N$7:$N$66&lt;M47)*$N$7:$N$66))=0,"",IF((M47-SUMPRODUCT(MAX(($D$7:$D$66=D47)*($N$7:$N$66&lt;M47)*$N$7:$N$66)))*24&lt;11,"Under 11h rest","")))</f>
        <v/>
      </c>
      <c r="M47" s="10">
        <f>IF(OR(B47="",E47=""),0,B47+E47)</f>
        <v/>
      </c>
      <c r="N47" s="10">
        <f>IF(OR(B47="",F47=""),0,B47+IF(F47&lt;E47,F47+1,F47))</f>
        <v/>
      </c>
    </row>
    <row r="48">
      <c r="A48" s="5" t="inlineStr">
        <is>
          <t>Saturday</t>
        </is>
      </c>
      <c r="B48" s="6" t="n"/>
      <c r="C48" s="5" t="inlineStr">
        <is>
          <t>Sous chef</t>
        </is>
      </c>
      <c r="D48" s="5" t="n"/>
      <c r="E48" s="7" t="n"/>
      <c r="F48" s="7" t="n"/>
      <c r="G48" s="5" t="n"/>
      <c r="H48" s="8">
        <f>IF(OR(E48="",F48=""),"",(IF(F48&lt;E48,F48+1,F48)-E48)*24-N(G48)/60)</f>
        <v/>
      </c>
      <c r="I48" s="9" t="n"/>
      <c r="J48" s="9">
        <f>IF(OR(H48="",I48=""),"",H48*I48)</f>
        <v/>
      </c>
      <c r="K48" s="5">
        <f>IF(H48="","",IF(AND(H48&gt;6,N(G48)&lt;20),"Needs a 20-min break",""))</f>
        <v/>
      </c>
      <c r="L48" s="5">
        <f>IF(OR(M48=0,D48=""),"",IF(SUMPRODUCT(MAX(($D$7:$D$66=D48)*($N$7:$N$66&lt;M48)*$N$7:$N$66))=0,"",IF((M48-SUMPRODUCT(MAX(($D$7:$D$66=D48)*($N$7:$N$66&lt;M48)*$N$7:$N$66)))*24&lt;11,"Under 11h rest","")))</f>
        <v/>
      </c>
      <c r="M48" s="10">
        <f>IF(OR(B48="",E48=""),0,B48+E48)</f>
        <v/>
      </c>
      <c r="N48" s="10">
        <f>IF(OR(B48="",F48=""),0,B48+IF(F48&lt;E48,F48+1,F48))</f>
        <v/>
      </c>
    </row>
    <row r="49">
      <c r="A49" s="5" t="inlineStr">
        <is>
          <t>Saturday</t>
        </is>
      </c>
      <c r="B49" s="6" t="n"/>
      <c r="C49" s="5" t="inlineStr">
        <is>
          <t>Chef de partie</t>
        </is>
      </c>
      <c r="D49" s="5" t="n"/>
      <c r="E49" s="7" t="n"/>
      <c r="F49" s="7" t="n"/>
      <c r="G49" s="5" t="n"/>
      <c r="H49" s="8">
        <f>IF(OR(E49="",F49=""),"",(IF(F49&lt;E49,F49+1,F49)-E49)*24-N(G49)/60)</f>
        <v/>
      </c>
      <c r="I49" s="9" t="n"/>
      <c r="J49" s="9">
        <f>IF(OR(H49="",I49=""),"",H49*I49)</f>
        <v/>
      </c>
      <c r="K49" s="5">
        <f>IF(H49="","",IF(AND(H49&gt;6,N(G49)&lt;20),"Needs a 20-min break",""))</f>
        <v/>
      </c>
      <c r="L49" s="5">
        <f>IF(OR(M49=0,D49=""),"",IF(SUMPRODUCT(MAX(($D$7:$D$66=D49)*($N$7:$N$66&lt;M49)*$N$7:$N$66))=0,"",IF((M49-SUMPRODUCT(MAX(($D$7:$D$66=D49)*($N$7:$N$66&lt;M49)*$N$7:$N$66)))*24&lt;11,"Under 11h rest","")))</f>
        <v/>
      </c>
      <c r="M49" s="10">
        <f>IF(OR(B49="",E49=""),0,B49+E49)</f>
        <v/>
      </c>
      <c r="N49" s="10">
        <f>IF(OR(B49="",F49=""),0,B49+IF(F49&lt;E49,F49+1,F49))</f>
        <v/>
      </c>
    </row>
    <row r="50">
      <c r="A50" s="5" t="inlineStr">
        <is>
          <t>Saturday</t>
        </is>
      </c>
      <c r="B50" s="6" t="n"/>
      <c r="C50" s="5" t="inlineStr">
        <is>
          <t>KP</t>
        </is>
      </c>
      <c r="D50" s="5" t="n"/>
      <c r="E50" s="7" t="n"/>
      <c r="F50" s="7" t="n"/>
      <c r="G50" s="5" t="n"/>
      <c r="H50" s="8">
        <f>IF(OR(E50="",F50=""),"",(IF(F50&lt;E50,F50+1,F50)-E50)*24-N(G50)/60)</f>
        <v/>
      </c>
      <c r="I50" s="9" t="n"/>
      <c r="J50" s="9">
        <f>IF(OR(H50="",I50=""),"",H50*I50)</f>
        <v/>
      </c>
      <c r="K50" s="5">
        <f>IF(H50="","",IF(AND(H50&gt;6,N(G50)&lt;20),"Needs a 20-min break",""))</f>
        <v/>
      </c>
      <c r="L50" s="5">
        <f>IF(OR(M50=0,D50=""),"",IF(SUMPRODUCT(MAX(($D$7:$D$66=D50)*($N$7:$N$66&lt;M50)*$N$7:$N$66))=0,"",IF((M50-SUMPRODUCT(MAX(($D$7:$D$66=D50)*($N$7:$N$66&lt;M50)*$N$7:$N$66)))*24&lt;11,"Under 11h rest","")))</f>
        <v/>
      </c>
      <c r="M50" s="10">
        <f>IF(OR(B50="",E50=""),0,B50+E50)</f>
        <v/>
      </c>
      <c r="N50" s="10">
        <f>IF(OR(B50="",F50=""),0,B50+IF(F50&lt;E50,F50+1,F50))</f>
        <v/>
      </c>
    </row>
    <row r="51">
      <c r="A51" s="5" t="inlineStr">
        <is>
          <t>Saturday</t>
        </is>
      </c>
      <c r="B51" s="6" t="n"/>
      <c r="C51" s="5" t="inlineStr">
        <is>
          <t>Pass</t>
        </is>
      </c>
      <c r="D51" s="5" t="n"/>
      <c r="E51" s="7" t="n"/>
      <c r="F51" s="7" t="n"/>
      <c r="G51" s="5" t="n"/>
      <c r="H51" s="8">
        <f>IF(OR(E51="",F51=""),"",(IF(F51&lt;E51,F51+1,F51)-E51)*24-N(G51)/60)</f>
        <v/>
      </c>
      <c r="I51" s="9" t="n"/>
      <c r="J51" s="9">
        <f>IF(OR(H51="",I51=""),"",H51*I51)</f>
        <v/>
      </c>
      <c r="K51" s="5">
        <f>IF(H51="","",IF(AND(H51&gt;6,N(G51)&lt;20),"Needs a 20-min break",""))</f>
        <v/>
      </c>
      <c r="L51" s="5">
        <f>IF(OR(M51=0,D51=""),"",IF(SUMPRODUCT(MAX(($D$7:$D$66=D51)*($N$7:$N$66&lt;M51)*$N$7:$N$66))=0,"",IF((M51-SUMPRODUCT(MAX(($D$7:$D$66=D51)*($N$7:$N$66&lt;M51)*$N$7:$N$66)))*24&lt;11,"Under 11h rest","")))</f>
        <v/>
      </c>
      <c r="M51" s="10">
        <f>IF(OR(B51="",E51=""),0,B51+E51)</f>
        <v/>
      </c>
      <c r="N51" s="10">
        <f>IF(OR(B51="",F51=""),0,B51+IF(F51&lt;E51,F51+1,F51))</f>
        <v/>
      </c>
    </row>
    <row r="52">
      <c r="A52" s="5" t="inlineStr">
        <is>
          <t>Saturday</t>
        </is>
      </c>
      <c r="B52" s="6" t="n"/>
      <c r="C52" s="5" t="inlineStr">
        <is>
          <t>Host</t>
        </is>
      </c>
      <c r="D52" s="5" t="n"/>
      <c r="E52" s="7" t="n"/>
      <c r="F52" s="7" t="n"/>
      <c r="G52" s="5" t="n"/>
      <c r="H52" s="8">
        <f>IF(OR(E52="",F52=""),"",(IF(F52&lt;E52,F52+1,F52)-E52)*24-N(G52)/60)</f>
        <v/>
      </c>
      <c r="I52" s="9" t="n"/>
      <c r="J52" s="9">
        <f>IF(OR(H52="",I52=""),"",H52*I52)</f>
        <v/>
      </c>
      <c r="K52" s="5">
        <f>IF(H52="","",IF(AND(H52&gt;6,N(G52)&lt;20),"Needs a 20-min break",""))</f>
        <v/>
      </c>
      <c r="L52" s="5">
        <f>IF(OR(M52=0,D52=""),"",IF(SUMPRODUCT(MAX(($D$7:$D$66=D52)*($N$7:$N$66&lt;M52)*$N$7:$N$66))=0,"",IF((M52-SUMPRODUCT(MAX(($D$7:$D$66=D52)*($N$7:$N$66&lt;M52)*$N$7:$N$66)))*24&lt;11,"Under 11h rest","")))</f>
        <v/>
      </c>
      <c r="M52" s="10">
        <f>IF(OR(B52="",E52=""),0,B52+E52)</f>
        <v/>
      </c>
      <c r="N52" s="10">
        <f>IF(OR(B52="",F52=""),0,B52+IF(F52&lt;E52,F52+1,F52))</f>
        <v/>
      </c>
    </row>
    <row r="53">
      <c r="A53" s="5" t="inlineStr">
        <is>
          <t>Saturday</t>
        </is>
      </c>
      <c r="B53" s="6" t="n"/>
      <c r="C53" s="5" t="inlineStr">
        <is>
          <t>Server</t>
        </is>
      </c>
      <c r="D53" s="5" t="n"/>
      <c r="E53" s="7" t="n"/>
      <c r="F53" s="7" t="n"/>
      <c r="G53" s="5" t="n"/>
      <c r="H53" s="8">
        <f>IF(OR(E53="",F53=""),"",(IF(F53&lt;E53,F53+1,F53)-E53)*24-N(G53)/60)</f>
        <v/>
      </c>
      <c r="I53" s="9" t="n"/>
      <c r="J53" s="9">
        <f>IF(OR(H53="",I53=""),"",H53*I53)</f>
        <v/>
      </c>
      <c r="K53" s="5">
        <f>IF(H53="","",IF(AND(H53&gt;6,N(G53)&lt;20),"Needs a 20-min break",""))</f>
        <v/>
      </c>
      <c r="L53" s="5">
        <f>IF(OR(M53=0,D53=""),"",IF(SUMPRODUCT(MAX(($D$7:$D$66=D53)*($N$7:$N$66&lt;M53)*$N$7:$N$66))=0,"",IF((M53-SUMPRODUCT(MAX(($D$7:$D$66=D53)*($N$7:$N$66&lt;M53)*$N$7:$N$66)))*24&lt;11,"Under 11h rest","")))</f>
        <v/>
      </c>
      <c r="M53" s="10">
        <f>IF(OR(B53="",E53=""),0,B53+E53)</f>
        <v/>
      </c>
      <c r="N53" s="10">
        <f>IF(OR(B53="",F53=""),0,B53+IF(F53&lt;E53,F53+1,F53))</f>
        <v/>
      </c>
    </row>
    <row r="54">
      <c r="A54" s="5" t="inlineStr">
        <is>
          <t>Saturday</t>
        </is>
      </c>
      <c r="B54" s="6" t="n"/>
      <c r="C54" s="5" t="inlineStr">
        <is>
          <t>Runner</t>
        </is>
      </c>
      <c r="D54" s="5" t="n"/>
      <c r="E54" s="7" t="n"/>
      <c r="F54" s="7" t="n"/>
      <c r="G54" s="5" t="n"/>
      <c r="H54" s="8">
        <f>IF(OR(E54="",F54=""),"",(IF(F54&lt;E54,F54+1,F54)-E54)*24-N(G54)/60)</f>
        <v/>
      </c>
      <c r="I54" s="9" t="n"/>
      <c r="J54" s="9">
        <f>IF(OR(H54="",I54=""),"",H54*I54)</f>
        <v/>
      </c>
      <c r="K54" s="5">
        <f>IF(H54="","",IF(AND(H54&gt;6,N(G54)&lt;20),"Needs a 20-min break",""))</f>
        <v/>
      </c>
      <c r="L54" s="5">
        <f>IF(OR(M54=0,D54=""),"",IF(SUMPRODUCT(MAX(($D$7:$D$66=D54)*($N$7:$N$66&lt;M54)*$N$7:$N$66))=0,"",IF((M54-SUMPRODUCT(MAX(($D$7:$D$66=D54)*($N$7:$N$66&lt;M54)*$N$7:$N$66)))*24&lt;11,"Under 11h rest","")))</f>
        <v/>
      </c>
      <c r="M54" s="10">
        <f>IF(OR(B54="",E54=""),0,B54+E54)</f>
        <v/>
      </c>
      <c r="N54" s="10">
        <f>IF(OR(B54="",F54=""),0,B54+IF(F54&lt;E54,F54+1,F54))</f>
        <v/>
      </c>
    </row>
    <row r="55">
      <c r="A55" s="5" t="inlineStr">
        <is>
          <t>Sunday</t>
        </is>
      </c>
      <c r="B55" s="6" t="n"/>
      <c r="C55" s="5" t="inlineStr">
        <is>
          <t>Head chef</t>
        </is>
      </c>
      <c r="D55" s="5" t="n"/>
      <c r="E55" s="7" t="n"/>
      <c r="F55" s="7" t="n"/>
      <c r="G55" s="5" t="n"/>
      <c r="H55" s="8">
        <f>IF(OR(E55="",F55=""),"",(IF(F55&lt;E55,F55+1,F55)-E55)*24-N(G55)/60)</f>
        <v/>
      </c>
      <c r="I55" s="9" t="n"/>
      <c r="J55" s="9">
        <f>IF(OR(H55="",I55=""),"",H55*I55)</f>
        <v/>
      </c>
      <c r="K55" s="5">
        <f>IF(H55="","",IF(AND(H55&gt;6,N(G55)&lt;20),"Needs a 20-min break",""))</f>
        <v/>
      </c>
      <c r="L55" s="5">
        <f>IF(OR(M55=0,D55=""),"",IF(SUMPRODUCT(MAX(($D$7:$D$66=D55)*($N$7:$N$66&lt;M55)*$N$7:$N$66))=0,"",IF((M55-SUMPRODUCT(MAX(($D$7:$D$66=D55)*($N$7:$N$66&lt;M55)*$N$7:$N$66)))*24&lt;11,"Under 11h rest","")))</f>
        <v/>
      </c>
      <c r="M55" s="10">
        <f>IF(OR(B55="",E55=""),0,B55+E55)</f>
        <v/>
      </c>
      <c r="N55" s="10">
        <f>IF(OR(B55="",F55=""),0,B55+IF(F55&lt;E55,F55+1,F55))</f>
        <v/>
      </c>
    </row>
    <row r="56">
      <c r="A56" s="5" t="inlineStr">
        <is>
          <t>Sunday</t>
        </is>
      </c>
      <c r="B56" s="6" t="n"/>
      <c r="C56" s="5" t="inlineStr">
        <is>
          <t>Sous chef</t>
        </is>
      </c>
      <c r="D56" s="5" t="n"/>
      <c r="E56" s="7" t="n"/>
      <c r="F56" s="7" t="n"/>
      <c r="G56" s="5" t="n"/>
      <c r="H56" s="8">
        <f>IF(OR(E56="",F56=""),"",(IF(F56&lt;E56,F56+1,F56)-E56)*24-N(G56)/60)</f>
        <v/>
      </c>
      <c r="I56" s="9" t="n"/>
      <c r="J56" s="9">
        <f>IF(OR(H56="",I56=""),"",H56*I56)</f>
        <v/>
      </c>
      <c r="K56" s="5">
        <f>IF(H56="","",IF(AND(H56&gt;6,N(G56)&lt;20),"Needs a 20-min break",""))</f>
        <v/>
      </c>
      <c r="L56" s="5">
        <f>IF(OR(M56=0,D56=""),"",IF(SUMPRODUCT(MAX(($D$7:$D$66=D56)*($N$7:$N$66&lt;M56)*$N$7:$N$66))=0,"",IF((M56-SUMPRODUCT(MAX(($D$7:$D$66=D56)*($N$7:$N$66&lt;M56)*$N$7:$N$66)))*24&lt;11,"Under 11h rest","")))</f>
        <v/>
      </c>
      <c r="M56" s="10">
        <f>IF(OR(B56="",E56=""),0,B56+E56)</f>
        <v/>
      </c>
      <c r="N56" s="10">
        <f>IF(OR(B56="",F56=""),0,B56+IF(F56&lt;E56,F56+1,F56))</f>
        <v/>
      </c>
    </row>
    <row r="57">
      <c r="A57" s="5" t="inlineStr">
        <is>
          <t>Sunday</t>
        </is>
      </c>
      <c r="B57" s="6" t="n"/>
      <c r="C57" s="5" t="inlineStr">
        <is>
          <t>Chef de partie</t>
        </is>
      </c>
      <c r="D57" s="5" t="n"/>
      <c r="E57" s="7" t="n"/>
      <c r="F57" s="7" t="n"/>
      <c r="G57" s="5" t="n"/>
      <c r="H57" s="8">
        <f>IF(OR(E57="",F57=""),"",(IF(F57&lt;E57,F57+1,F57)-E57)*24-N(G57)/60)</f>
        <v/>
      </c>
      <c r="I57" s="9" t="n"/>
      <c r="J57" s="9">
        <f>IF(OR(H57="",I57=""),"",H57*I57)</f>
        <v/>
      </c>
      <c r="K57" s="5">
        <f>IF(H57="","",IF(AND(H57&gt;6,N(G57)&lt;20),"Needs a 20-min break",""))</f>
        <v/>
      </c>
      <c r="L57" s="5">
        <f>IF(OR(M57=0,D57=""),"",IF(SUMPRODUCT(MAX(($D$7:$D$66=D57)*($N$7:$N$66&lt;M57)*$N$7:$N$66))=0,"",IF((M57-SUMPRODUCT(MAX(($D$7:$D$66=D57)*($N$7:$N$66&lt;M57)*$N$7:$N$66)))*24&lt;11,"Under 11h rest","")))</f>
        <v/>
      </c>
      <c r="M57" s="10">
        <f>IF(OR(B57="",E57=""),0,B57+E57)</f>
        <v/>
      </c>
      <c r="N57" s="10">
        <f>IF(OR(B57="",F57=""),0,B57+IF(F57&lt;E57,F57+1,F57))</f>
        <v/>
      </c>
    </row>
    <row r="58">
      <c r="A58" s="5" t="inlineStr">
        <is>
          <t>Sunday</t>
        </is>
      </c>
      <c r="B58" s="6" t="n"/>
      <c r="C58" s="5" t="inlineStr">
        <is>
          <t>KP</t>
        </is>
      </c>
      <c r="D58" s="5" t="n"/>
      <c r="E58" s="7" t="n"/>
      <c r="F58" s="7" t="n"/>
      <c r="G58" s="5" t="n"/>
      <c r="H58" s="8">
        <f>IF(OR(E58="",F58=""),"",(IF(F58&lt;E58,F58+1,F58)-E58)*24-N(G58)/60)</f>
        <v/>
      </c>
      <c r="I58" s="9" t="n"/>
      <c r="J58" s="9">
        <f>IF(OR(H58="",I58=""),"",H58*I58)</f>
        <v/>
      </c>
      <c r="K58" s="5">
        <f>IF(H58="","",IF(AND(H58&gt;6,N(G58)&lt;20),"Needs a 20-min break",""))</f>
        <v/>
      </c>
      <c r="L58" s="5">
        <f>IF(OR(M58=0,D58=""),"",IF(SUMPRODUCT(MAX(($D$7:$D$66=D58)*($N$7:$N$66&lt;M58)*$N$7:$N$66))=0,"",IF((M58-SUMPRODUCT(MAX(($D$7:$D$66=D58)*($N$7:$N$66&lt;M58)*$N$7:$N$66)))*24&lt;11,"Under 11h rest","")))</f>
        <v/>
      </c>
      <c r="M58" s="10">
        <f>IF(OR(B58="",E58=""),0,B58+E58)</f>
        <v/>
      </c>
      <c r="N58" s="10">
        <f>IF(OR(B58="",F58=""),0,B58+IF(F58&lt;E58,F58+1,F58))</f>
        <v/>
      </c>
    </row>
    <row r="59">
      <c r="A59" s="5" t="inlineStr">
        <is>
          <t>Sunday</t>
        </is>
      </c>
      <c r="B59" s="6" t="n"/>
      <c r="C59" s="5" t="inlineStr">
        <is>
          <t>Pass</t>
        </is>
      </c>
      <c r="D59" s="5" t="n"/>
      <c r="E59" s="7" t="n"/>
      <c r="F59" s="7" t="n"/>
      <c r="G59" s="5" t="n"/>
      <c r="H59" s="8">
        <f>IF(OR(E59="",F59=""),"",(IF(F59&lt;E59,F59+1,F59)-E59)*24-N(G59)/60)</f>
        <v/>
      </c>
      <c r="I59" s="9" t="n"/>
      <c r="J59" s="9">
        <f>IF(OR(H59="",I59=""),"",H59*I59)</f>
        <v/>
      </c>
      <c r="K59" s="5">
        <f>IF(H59="","",IF(AND(H59&gt;6,N(G59)&lt;20),"Needs a 20-min break",""))</f>
        <v/>
      </c>
      <c r="L59" s="5">
        <f>IF(OR(M59=0,D59=""),"",IF(SUMPRODUCT(MAX(($D$7:$D$66=D59)*($N$7:$N$66&lt;M59)*$N$7:$N$66))=0,"",IF((M59-SUMPRODUCT(MAX(($D$7:$D$66=D59)*($N$7:$N$66&lt;M59)*$N$7:$N$66)))*24&lt;11,"Under 11h rest","")))</f>
        <v/>
      </c>
      <c r="M59" s="10">
        <f>IF(OR(B59="",E59=""),0,B59+E59)</f>
        <v/>
      </c>
      <c r="N59" s="10">
        <f>IF(OR(B59="",F59=""),0,B59+IF(F59&lt;E59,F59+1,F59))</f>
        <v/>
      </c>
    </row>
    <row r="60">
      <c r="A60" s="5" t="inlineStr">
        <is>
          <t>Sunday</t>
        </is>
      </c>
      <c r="B60" s="6" t="n"/>
      <c r="C60" s="5" t="inlineStr">
        <is>
          <t>Host</t>
        </is>
      </c>
      <c r="D60" s="5" t="n"/>
      <c r="E60" s="7" t="n"/>
      <c r="F60" s="7" t="n"/>
      <c r="G60" s="5" t="n"/>
      <c r="H60" s="8">
        <f>IF(OR(E60="",F60=""),"",(IF(F60&lt;E60,F60+1,F60)-E60)*24-N(G60)/60)</f>
        <v/>
      </c>
      <c r="I60" s="9" t="n"/>
      <c r="J60" s="9">
        <f>IF(OR(H60="",I60=""),"",H60*I60)</f>
        <v/>
      </c>
      <c r="K60" s="5">
        <f>IF(H60="","",IF(AND(H60&gt;6,N(G60)&lt;20),"Needs a 20-min break",""))</f>
        <v/>
      </c>
      <c r="L60" s="5">
        <f>IF(OR(M60=0,D60=""),"",IF(SUMPRODUCT(MAX(($D$7:$D$66=D60)*($N$7:$N$66&lt;M60)*$N$7:$N$66))=0,"",IF((M60-SUMPRODUCT(MAX(($D$7:$D$66=D60)*($N$7:$N$66&lt;M60)*$N$7:$N$66)))*24&lt;11,"Under 11h rest","")))</f>
        <v/>
      </c>
      <c r="M60" s="10">
        <f>IF(OR(B60="",E60=""),0,B60+E60)</f>
        <v/>
      </c>
      <c r="N60" s="10">
        <f>IF(OR(B60="",F60=""),0,B60+IF(F60&lt;E60,F60+1,F60))</f>
        <v/>
      </c>
    </row>
    <row r="61">
      <c r="A61" s="5" t="inlineStr">
        <is>
          <t>Sunday</t>
        </is>
      </c>
      <c r="B61" s="6" t="n"/>
      <c r="C61" s="5" t="inlineStr">
        <is>
          <t>Server</t>
        </is>
      </c>
      <c r="D61" s="5" t="n"/>
      <c r="E61" s="7" t="n"/>
      <c r="F61" s="7" t="n"/>
      <c r="G61" s="5" t="n"/>
      <c r="H61" s="8">
        <f>IF(OR(E61="",F61=""),"",(IF(F61&lt;E61,F61+1,F61)-E61)*24-N(G61)/60)</f>
        <v/>
      </c>
      <c r="I61" s="9" t="n"/>
      <c r="J61" s="9">
        <f>IF(OR(H61="",I61=""),"",H61*I61)</f>
        <v/>
      </c>
      <c r="K61" s="5">
        <f>IF(H61="","",IF(AND(H61&gt;6,N(G61)&lt;20),"Needs a 20-min break",""))</f>
        <v/>
      </c>
      <c r="L61" s="5">
        <f>IF(OR(M61=0,D61=""),"",IF(SUMPRODUCT(MAX(($D$7:$D$66=D61)*($N$7:$N$66&lt;M61)*$N$7:$N$66))=0,"",IF((M61-SUMPRODUCT(MAX(($D$7:$D$66=D61)*($N$7:$N$66&lt;M61)*$N$7:$N$66)))*24&lt;11,"Under 11h rest","")))</f>
        <v/>
      </c>
      <c r="M61" s="10">
        <f>IF(OR(B61="",E61=""),0,B61+E61)</f>
        <v/>
      </c>
      <c r="N61" s="10">
        <f>IF(OR(B61="",F61=""),0,B61+IF(F61&lt;E61,F61+1,F61))</f>
        <v/>
      </c>
    </row>
    <row r="62">
      <c r="A62" s="5" t="inlineStr">
        <is>
          <t>Sunday</t>
        </is>
      </c>
      <c r="B62" s="6" t="n"/>
      <c r="C62" s="5" t="inlineStr">
        <is>
          <t>Runner</t>
        </is>
      </c>
      <c r="D62" s="5" t="n"/>
      <c r="E62" s="7" t="n"/>
      <c r="F62" s="7" t="n"/>
      <c r="G62" s="5" t="n"/>
      <c r="H62" s="8">
        <f>IF(OR(E62="",F62=""),"",(IF(F62&lt;E62,F62+1,F62)-E62)*24-N(G62)/60)</f>
        <v/>
      </c>
      <c r="I62" s="9" t="n"/>
      <c r="J62" s="9">
        <f>IF(OR(H62="",I62=""),"",H62*I62)</f>
        <v/>
      </c>
      <c r="K62" s="5">
        <f>IF(H62="","",IF(AND(H62&gt;6,N(G62)&lt;20),"Needs a 20-min break",""))</f>
        <v/>
      </c>
      <c r="L62" s="5">
        <f>IF(OR(M62=0,D62=""),"",IF(SUMPRODUCT(MAX(($D$7:$D$66=D62)*($N$7:$N$66&lt;M62)*$N$7:$N$66))=0,"",IF((M62-SUMPRODUCT(MAX(($D$7:$D$66=D62)*($N$7:$N$66&lt;M62)*$N$7:$N$66)))*24&lt;11,"Under 11h rest","")))</f>
        <v/>
      </c>
      <c r="M62" s="10">
        <f>IF(OR(B62="",E62=""),0,B62+E62)</f>
        <v/>
      </c>
      <c r="N62" s="10">
        <f>IF(OR(B62="",F62=""),0,B62+IF(F62&lt;E62,F62+1,F62))</f>
        <v/>
      </c>
    </row>
    <row r="63">
      <c r="A63" s="5" t="n"/>
      <c r="B63" s="6" t="n"/>
      <c r="C63" s="5" t="n"/>
      <c r="D63" s="5" t="n"/>
      <c r="E63" s="7" t="n"/>
      <c r="F63" s="7" t="n"/>
      <c r="G63" s="5" t="n"/>
      <c r="H63" s="8">
        <f>IF(OR(E63="",F63=""),"",(IF(F63&lt;E63,F63+1,F63)-E63)*24-N(G63)/60)</f>
        <v/>
      </c>
      <c r="I63" s="9" t="n"/>
      <c r="J63" s="9">
        <f>IF(OR(H63="",I63=""),"",H63*I63)</f>
        <v/>
      </c>
      <c r="K63" s="5">
        <f>IF(H63="","",IF(AND(H63&gt;6,N(G63)&lt;20),"Needs a 20-min break",""))</f>
        <v/>
      </c>
      <c r="L63" s="5">
        <f>IF(OR(M63=0,D63=""),"",IF(SUMPRODUCT(MAX(($D$7:$D$66=D63)*($N$7:$N$66&lt;M63)*$N$7:$N$66))=0,"",IF((M63-SUMPRODUCT(MAX(($D$7:$D$66=D63)*($N$7:$N$66&lt;M63)*$N$7:$N$66)))*24&lt;11,"Under 11h rest","")))</f>
        <v/>
      </c>
      <c r="M63" s="10">
        <f>IF(OR(B63="",E63=""),0,B63+E63)</f>
        <v/>
      </c>
      <c r="N63" s="10">
        <f>IF(OR(B63="",F63=""),0,B63+IF(F63&lt;E63,F63+1,F63))</f>
        <v/>
      </c>
    </row>
    <row r="64">
      <c r="A64" s="5" t="n"/>
      <c r="B64" s="6" t="n"/>
      <c r="C64" s="5" t="n"/>
      <c r="D64" s="5" t="n"/>
      <c r="E64" s="7" t="n"/>
      <c r="F64" s="7" t="n"/>
      <c r="G64" s="5" t="n"/>
      <c r="H64" s="8">
        <f>IF(OR(E64="",F64=""),"",(IF(F64&lt;E64,F64+1,F64)-E64)*24-N(G64)/60)</f>
        <v/>
      </c>
      <c r="I64" s="9" t="n"/>
      <c r="J64" s="9">
        <f>IF(OR(H64="",I64=""),"",H64*I64)</f>
        <v/>
      </c>
      <c r="K64" s="5">
        <f>IF(H64="","",IF(AND(H64&gt;6,N(G64)&lt;20),"Needs a 20-min break",""))</f>
        <v/>
      </c>
      <c r="L64" s="5">
        <f>IF(OR(M64=0,D64=""),"",IF(SUMPRODUCT(MAX(($D$7:$D$66=D64)*($N$7:$N$66&lt;M64)*$N$7:$N$66))=0,"",IF((M64-SUMPRODUCT(MAX(($D$7:$D$66=D64)*($N$7:$N$66&lt;M64)*$N$7:$N$66)))*24&lt;11,"Under 11h rest","")))</f>
        <v/>
      </c>
      <c r="M64" s="10">
        <f>IF(OR(B64="",E64=""),0,B64+E64)</f>
        <v/>
      </c>
      <c r="N64" s="10">
        <f>IF(OR(B64="",F64=""),0,B64+IF(F64&lt;E64,F64+1,F64))</f>
        <v/>
      </c>
    </row>
    <row r="65">
      <c r="A65" s="5" t="n"/>
      <c r="B65" s="6" t="n"/>
      <c r="C65" s="5" t="n"/>
      <c r="D65" s="5" t="n"/>
      <c r="E65" s="7" t="n"/>
      <c r="F65" s="7" t="n"/>
      <c r="G65" s="5" t="n"/>
      <c r="H65" s="8">
        <f>IF(OR(E65="",F65=""),"",(IF(F65&lt;E65,F65+1,F65)-E65)*24-N(G65)/60)</f>
        <v/>
      </c>
      <c r="I65" s="9" t="n"/>
      <c r="J65" s="9">
        <f>IF(OR(H65="",I65=""),"",H65*I65)</f>
        <v/>
      </c>
      <c r="K65" s="5">
        <f>IF(H65="","",IF(AND(H65&gt;6,N(G65)&lt;20),"Needs a 20-min break",""))</f>
        <v/>
      </c>
      <c r="L65" s="5">
        <f>IF(OR(M65=0,D65=""),"",IF(SUMPRODUCT(MAX(($D$7:$D$66=D65)*($N$7:$N$66&lt;M65)*$N$7:$N$66))=0,"",IF((M65-SUMPRODUCT(MAX(($D$7:$D$66=D65)*($N$7:$N$66&lt;M65)*$N$7:$N$66)))*24&lt;11,"Under 11h rest","")))</f>
        <v/>
      </c>
      <c r="M65" s="10">
        <f>IF(OR(B65="",E65=""),0,B65+E65)</f>
        <v/>
      </c>
      <c r="N65" s="10">
        <f>IF(OR(B65="",F65=""),0,B65+IF(F65&lt;E65,F65+1,F65))</f>
        <v/>
      </c>
    </row>
    <row r="66">
      <c r="A66" s="5" t="n"/>
      <c r="B66" s="6" t="n"/>
      <c r="C66" s="5" t="n"/>
      <c r="D66" s="5" t="n"/>
      <c r="E66" s="7" t="n"/>
      <c r="F66" s="7" t="n"/>
      <c r="G66" s="5" t="n"/>
      <c r="H66" s="8">
        <f>IF(OR(E66="",F66=""),"",(IF(F66&lt;E66,F66+1,F66)-E66)*24-N(G66)/60)</f>
        <v/>
      </c>
      <c r="I66" s="9" t="n"/>
      <c r="J66" s="9">
        <f>IF(OR(H66="",I66=""),"",H66*I66)</f>
        <v/>
      </c>
      <c r="K66" s="5">
        <f>IF(H66="","",IF(AND(H66&gt;6,N(G66)&lt;20),"Needs a 20-min break",""))</f>
        <v/>
      </c>
      <c r="L66" s="5">
        <f>IF(OR(M66=0,D66=""),"",IF(SUMPRODUCT(MAX(($D$7:$D$66=D66)*($N$7:$N$66&lt;M66)*$N$7:$N$66))=0,"",IF((M66-SUMPRODUCT(MAX(($D$7:$D$66=D66)*($N$7:$N$66&lt;M66)*$N$7:$N$66)))*24&lt;11,"Under 11h rest","")))</f>
        <v/>
      </c>
      <c r="M66" s="10">
        <f>IF(OR(B66="",E66=""),0,B66+E66)</f>
        <v/>
      </c>
      <c r="N66" s="10">
        <f>IF(OR(B66="",F66=""),0,B66+IF(F66&lt;E66,F66+1,F66))</f>
        <v/>
      </c>
    </row>
  </sheetData>
  <conditionalFormatting sqref="K7:K66">
    <cfRule type="expression" priority="1" dxfId="0" stopIfTrue="0">
      <formula>LEN(K7)&gt;0</formula>
    </cfRule>
  </conditionalFormatting>
  <conditionalFormatting sqref="L7:L66">
    <cfRule type="expression" priority="2" dxfId="0" stopIfTrue="0">
      <formula>LEN(L7)&gt;0</formula>
    </cfRule>
  </conditionalFormatting>
  <pageMargins left="0.75" right="0.75" top="1" bottom="1" header="0.5" footer="0.5"/>
  <headerFooter>
    <oddFooter>&amp;C&amp;8&amp;K808080Template from hospitalityapp.co.uk</oddFooter>
  </headerFooter>
</worksheet>
</file>

<file path=xl/worksheets/sheet2.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34" customWidth="1" min="1" max="1"/>
    <col width="18" customWidth="1" min="2" max="2"/>
    <col width="52" customWidth="1" min="3" max="3"/>
  </cols>
  <sheetData>
    <row r="1">
      <c r="A1" s="1" t="inlineStr">
        <is>
          <t>Week summary</t>
        </is>
      </c>
    </row>
    <row r="2">
      <c r="A2" s="2" t="inlineStr">
        <is>
          <t>Total hours rostered</t>
        </is>
      </c>
      <c r="B2" s="11">
        <f>SUM(Rota!H7:H66)</f>
        <v/>
      </c>
      <c r="C2" s="12" t="inlineStr">
        <is>
          <t>Sum of every shift on the Rota sheet.</t>
        </is>
      </c>
    </row>
    <row r="3">
      <c r="A3" s="2" t="inlineStr">
        <is>
          <t>Total labour cost</t>
        </is>
      </c>
      <c r="B3" s="13">
        <f>SUM(Rota!J7:J66)</f>
        <v/>
      </c>
      <c r="C3" s="12" t="inlineStr">
        <is>
          <t>Wages only. Add employer NIC and pension for a fully-loaded figure.</t>
        </is>
      </c>
    </row>
    <row r="5">
      <c r="A5" s="2" t="inlineStr">
        <is>
          <t>Expected net sales (ex VAT)</t>
        </is>
      </c>
      <c r="B5" s="13" t="n">
        <v>0</v>
      </c>
      <c r="C5" s="12" t="inlineStr">
        <is>
          <t>TYPE THIS IN. Net of VAT — VAT is not yours.</t>
        </is>
      </c>
    </row>
    <row r="6">
      <c r="A6" s="2" t="inlineStr">
        <is>
          <t>Target labour %</t>
        </is>
      </c>
      <c r="B6" s="14" t="n">
        <v>0.3</v>
      </c>
      <c r="C6" s="12" t="inlineStr">
        <is>
          <t>TYPE THIS IN. Wet-led pub 22-28%, food-led 28-34%, restaurant 26-32%, cafe 25-32%.</t>
        </is>
      </c>
    </row>
    <row r="8">
      <c r="A8" s="2" t="inlineStr">
        <is>
          <t>Forecast labour %</t>
        </is>
      </c>
      <c r="B8" s="14">
        <f>IF(B5=0,"",B3/B5)</f>
        <v/>
      </c>
      <c r="C8" s="12" t="inlineStr">
        <is>
          <t>Labour cost (B3) divided by net sales (B5).</t>
        </is>
      </c>
    </row>
    <row r="9">
      <c r="A9" s="2" t="inlineStr">
        <is>
          <t>Variance vs target</t>
        </is>
      </c>
      <c r="B9" s="14">
        <f>IF(B5=0,"",B8-B6)</f>
        <v/>
      </c>
      <c r="C9" s="12" t="inlineStr">
        <is>
          <t>Green within +2 points. Amber +2 to +5. Red beyond +5.</t>
        </is>
      </c>
    </row>
    <row r="11">
      <c r="A11" s="2" t="inlineStr">
        <is>
          <t>Break warnings</t>
        </is>
      </c>
      <c r="B11" s="15">
        <f>COUNTIF(Rota!K7:K66,"?*")</f>
        <v/>
      </c>
      <c r="C11" s="12" t="inlineStr">
        <is>
          <t>Shifts over 6 hours with under 20 minutes of break.</t>
        </is>
      </c>
    </row>
    <row r="12">
      <c r="A12" s="2" t="inlineStr">
        <is>
          <t>Rest warnings</t>
        </is>
      </c>
      <c r="B12" s="15">
        <f>COUNTIF(Rota!L7:L66,"?*")</f>
        <v/>
      </c>
      <c r="C12" s="12" t="inlineStr">
        <is>
          <t>Under 11 hours between one shift ending and the next starting.</t>
        </is>
      </c>
    </row>
  </sheetData>
  <conditionalFormatting sqref="B8">
    <cfRule type="expression" priority="1" dxfId="1" stopIfTrue="1">
      <formula>AND($B$8&lt;&gt;"",$B$8&gt;$B$6+0.05)</formula>
    </cfRule>
    <cfRule type="expression" priority="2" dxfId="2" stopIfTrue="1">
      <formula>AND($B$8&lt;&gt;"",$B$8&gt;$B$6+0.02)</formula>
    </cfRule>
    <cfRule type="expression" priority="3" dxfId="3" stopIfTrue="1">
      <formula>$B$8&lt;&gt;""</formula>
    </cfRule>
  </conditionalFormatting>
  <conditionalFormatting sqref="B9">
    <cfRule type="expression" priority="4" dxfId="1" stopIfTrue="1">
      <formula>AND($B$9&lt;&gt;"",$B$9&gt;0.05)</formula>
    </cfRule>
    <cfRule type="expression" priority="5" dxfId="2" stopIfTrue="1">
      <formula>AND($B$9&lt;&gt;"",$B$9&gt;0.02)</formula>
    </cfRule>
    <cfRule type="expression" priority="6" dxfId="3" stopIfTrue="1">
      <formula>$B$9&lt;&gt;""</formula>
    </cfRule>
  </conditionalFormatting>
  <conditionalFormatting sqref="B11">
    <cfRule type="cellIs" priority="7" operator="greaterThan" dxfId="1">
      <formula>0</formula>
    </cfRule>
  </conditionalFormatting>
  <conditionalFormatting sqref="B12">
    <cfRule type="cellIs" priority="8" operator="greaterThan" dxfId="1">
      <formula>0</formula>
    </cfRule>
  </conditionalFormatting>
  <pageMargins left="0.75" right="0.75" top="1" bottom="1" header="0.5" footer="0.5"/>
  <headerFooter>
    <oddFooter>&amp;C&amp;8&amp;K808080Template from hospitalityapp.co.uk</oddFooter>
  </headerFooter>
</worksheet>
</file>

<file path=xl/worksheets/sheet3.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6" t="inlineStr">
        <is>
          <t>Kitchen &amp; front-of-house rota template</t>
        </is>
      </c>
    </row>
    <row r="3" ht="30" customHeight="1">
      <c r="A3" s="17" t="inlineStr">
        <is>
          <t>1. On the Rota sheet, put Monday's date in B3 and fill the Date column for each shift.</t>
        </is>
      </c>
    </row>
    <row r="4" ht="30" customHeight="1">
      <c r="A4" s="17" t="inlineStr">
        <is>
          <t>2. Type Start and End as times (17:00, 01:00). Overnight shifts work — 17:00 to 01:00 is 8 hours, not minus 16.</t>
        </is>
      </c>
    </row>
    <row r="5" ht="30" customHeight="1">
      <c r="A5" s="17" t="inlineStr">
        <is>
          <t>3. Put unpaid break minutes in the Break column. Hours and Cost calculate themselves.</t>
        </is>
      </c>
    </row>
    <row r="6" ht="30" customHeight="1">
      <c r="A6" s="17" t="inlineStr">
        <is>
          <t>4. Put each person's hourly rate in the Rate column.</t>
        </is>
      </c>
    </row>
    <row r="7" ht="30" customHeight="1">
      <c r="A7" s="17" t="inlineStr">
        <is>
          <t>5. On the Summary sheet, type your expected net sales and your target labour %.</t>
        </is>
      </c>
    </row>
    <row r="8" ht="30" customHeight="1">
      <c r="A8" s="17" t="inlineStr">
        <is>
          <t>6. Watch the variance cell. Green means you are within two points of target. Red means fix the week before you publish it.</t>
        </is>
      </c>
    </row>
    <row r="10">
      <c r="A10" s="18" t="inlineStr">
        <is>
          <t>The two checks</t>
        </is>
      </c>
    </row>
    <row r="11" ht="30" customHeight="1">
      <c r="A11" s="17" t="inlineStr">
        <is>
          <t>Break check — flags any shift over 6 hours with less than 20 minutes of break. Under the Working Time Regulations 1998, a worker is entitled to an uninterrupted 20-minute rest break when daily working time is more than 6 hours.</t>
        </is>
      </c>
    </row>
    <row r="12" ht="30" customHeight="1">
      <c r="A12" s="17" t="inlineStr">
        <is>
          <t>Rest check — flags any shift starting less than 11 hours after the same person's previous shift ended. The Regulations provide for 11 consecutive hours of daily rest.</t>
        </is>
      </c>
    </row>
    <row r="14">
      <c r="A14" s="19" t="inlineStr">
        <is>
          <t>These checks are a prompt, not legal advice. Different rules apply to under-18s, and some sectors and agreements vary. Check your own obligations.</t>
        </is>
      </c>
    </row>
    <row r="16">
      <c r="A16" s="18" t="inlineStr">
        <is>
          <t>Rates are examples</t>
        </is>
      </c>
    </row>
    <row r="17" ht="30" customHeight="1">
      <c r="A17" s="17" t="inlineStr">
        <is>
          <t>The Rate column is blank on purpose. National Minimum and National Living Wage rates change every April — look up the current rate for each age band rather than trusting a figure baked into a spreadsheet.</t>
        </is>
      </c>
    </row>
    <row r="19">
      <c r="A19" s="18" t="inlineStr">
        <is>
          <t>When the spreadsheet stops working</t>
        </is>
      </c>
    </row>
    <row r="20" ht="30" customHeight="1">
      <c r="A20" s="17" t="inlineStr">
        <is>
          <t>A spreadsheet cannot tell your team the rota has changed, cannot stop you rostering someone who booked the week off, and cannot reconcile what you planned against what people actually worked. When those start costing you money, that is the point to move to something that does.</t>
        </is>
      </c>
    </row>
    <row r="21">
      <c r="A21" s="18" t="inlineStr">
        <is>
          <t>hospitalityapp.co.uk/features/rota</t>
        </is>
      </c>
    </row>
    <row r="23">
      <c r="A23" s="19" t="inlineStr">
        <is>
          <t>Free to use and share. From Hospitality App — the rota, till and compliance app for independent UK hospitality.</t>
        </is>
      </c>
    </row>
  </sheetData>
  <pageMargins left="0.75" right="0.75" top="1" bottom="1" header="0.5" footer="0.5"/>
  <headerFooter>
    <oddFooter>&amp;C&amp;8&amp;K808080Template from hospitalityapp.co.uk</odd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2026-08-25T10:07:29Z</dcterms:created>
  <dcterms:modified xmlns:dcterms="http://purl.org/dc/terms/" xmlns:xsi="http://www.w3.org/2001/XMLSchema-instance" xsi:type="dcterms:W3CDTF">2026-09-18T15:00:00Z</dcterms:modified>
</cp:coreProperties>
</file>